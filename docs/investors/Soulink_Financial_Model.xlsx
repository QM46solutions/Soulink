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Use of funds" sheetId="2" state="visible" r:id="rId4"/>
    <sheet name="Assumptions" sheetId="3" state="visible" r:id="rId5"/>
    <sheet name="Monthly" sheetId="4" state="visible" r:id="rId6"/>
    <sheet name="Sourc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<sst xmlns="http://schemas.openxmlformats.org/spreadsheetml/2006/main" count="141" uniqueCount="129">
  <si>
    <t xml:space="preserve">Soulink pre-seed: summary</t>
  </si>
  <si>
    <t xml:space="preserve">All figures are estimates from the Assumptions tab (₹ lakh unless noted). Change the blue cells there and this page updates.</t>
  </si>
  <si>
    <t xml:space="preserve">The round</t>
  </si>
  <si>
    <t xml:space="preserve">Raise (₹ lakh)</t>
  </si>
  <si>
    <t xml:space="preserve">Pre-money valuation (₹ lakh)</t>
  </si>
  <si>
    <t xml:space="preserve">Post-money valuation (₹ lakh)</t>
  </si>
  <si>
    <t xml:space="preserve">Investors own</t>
  </si>
  <si>
    <t xml:space="preserve">Runway</t>
  </si>
  <si>
    <t xml:space="preserve">Months the round lasts (cash stays above zero)</t>
  </si>
  <si>
    <t xml:space="preserve">Average monthly burn, months 1–12</t>
  </si>
  <si>
    <t xml:space="preserve">Cash left after month 18</t>
  </si>
  <si>
    <t xml:space="preserve">Milestones</t>
  </si>
  <si>
    <t xml:space="preserve">MAU at month 12</t>
  </si>
  <si>
    <t xml:space="preserve">MAU at month 18</t>
  </si>
  <si>
    <t xml:space="preserve">MAU at month 24</t>
  </si>
  <si>
    <t xml:space="preserve">Net revenue in month 18 (₹ lakh / month)</t>
  </si>
  <si>
    <t xml:space="preserve">Net revenue, months 13–24 total</t>
  </si>
  <si>
    <t xml:space="preserve">Revenue as % of costs in month 24</t>
  </si>
  <si>
    <t xml:space="preserve">Revenue mix, months 1–24</t>
  </si>
  <si>
    <t xml:space="preserve">Ads</t>
  </si>
  <si>
    <t xml:space="preserve">Spread around</t>
  </si>
  <si>
    <t xml:space="preserve">Premium</t>
  </si>
  <si>
    <t xml:space="preserve">Brand partnerships + events</t>
  </si>
  <si>
    <t xml:space="preserve">Use of funds: first 18 months (₹ lakh)</t>
  </si>
  <si>
    <t xml:space="preserve">Bucket</t>
  </si>
  <si>
    <t xml:space="preserve">₹ lakh</t>
  </si>
  <si>
    <t xml:space="preserve">Share</t>
  </si>
  <si>
    <t xml:space="preserve">Team (product, engineering, design, community, partnerships)</t>
  </si>
  <si>
    <t xml:space="preserve">Cloud and AI services</t>
  </si>
  <si>
    <t xml:space="preserve">Marketing (campus events, creators)</t>
  </si>
  <si>
    <t xml:space="preserve">Legal, accounting, tools</t>
  </si>
  <si>
    <t xml:space="preserve">One-time setup</t>
  </si>
  <si>
    <t xml:space="preserve">Total spend, months 1–18</t>
  </si>
  <si>
    <t xml:space="preserve">Less: revenue earned in months 1–18</t>
  </si>
  <si>
    <t xml:space="preserve">Net cash needed for 18 months</t>
  </si>
  <si>
    <t xml:space="preserve">Raise</t>
  </si>
  <si>
    <t xml:space="preserve">Buffer left at month 18</t>
  </si>
  <si>
    <t xml:space="preserve">Soulink: pre-seed financial model</t>
  </si>
  <si>
    <t xml:space="preserve">Money in ₹ lakh unless a row says otherwise (1 lakh = ₹1,00,000; 100 lakh = ₹1 crore). Blue = inputs you can change; yellow = key levers. Every figure is a planning estimate, not actual results.</t>
  </si>
  <si>
    <t xml:space="preserve">Amount to raise (₹ lakh)</t>
  </si>
  <si>
    <t xml:space="preserve">Proposed ask: ₹1.5 crore, inside the ₹50 lakh–₹2 crore range you chose.</t>
  </si>
  <si>
    <t xml:space="preserve">Opening position, negotiable. Pre-product-market-fit consumer apps in India usually raise pre-seed at roughly ₹8–20 crore post-money.</t>
  </si>
  <si>
    <t xml:space="preserve">Users (monthly active users, MAU)</t>
  </si>
  <si>
    <t xml:space="preserve">MAU in month 1</t>
  </si>
  <si>
    <t xml:space="preserve">Invite-only launch in Hyderabad colleges and young professionals.</t>
  </si>
  <si>
    <t xml:space="preserve">Monthly MAU growth, months 2–6</t>
  </si>
  <si>
    <t xml:space="preserve">Campus-by-campus launch.</t>
  </si>
  <si>
    <t xml:space="preserve">Monthly MAU growth, months 7–12</t>
  </si>
  <si>
    <t xml:space="preserve">Monthly MAU growth, months 13–24</t>
  </si>
  <si>
    <t xml:space="preserve">Second and third city.</t>
  </si>
  <si>
    <t xml:space="preserve">Revenue drivers</t>
  </si>
  <si>
    <t xml:space="preserve">Ad impressions per MAU per month</t>
  </si>
  <si>
    <t xml:space="preserve">Sponsored cards: every 4th Home post, every 5th Spark, sponsored Argue.</t>
  </si>
  <si>
    <t xml:space="preserve">Ad fill rate (share of ad slots sold)</t>
  </si>
  <si>
    <t xml:space="preserve">Direct-sold to brands by the team; no ad network.</t>
  </si>
  <si>
    <t xml:space="preserve">Ad eCPM (₹ per 1,000 impressions)</t>
  </si>
  <si>
    <t xml:space="preserve">Assumption for direct-sold youth-brand placements in India; check with your first 3 brands.</t>
  </si>
  <si>
    <t xml:space="preserve">Ads start in month</t>
  </si>
  <si>
    <t xml:space="preserve">Spread around: share of MAU who buy one per month</t>
  </si>
  <si>
    <t xml:space="preserve">Boost plans ₹49 / ₹129 / ₹249.</t>
  </si>
  <si>
    <t xml:space="preserve">Spread around: average spend (₹)</t>
  </si>
  <si>
    <t xml:space="preserve">Mix of the three plans.</t>
  </si>
  <si>
    <t xml:space="preserve">Spread around starts in month</t>
  </si>
  <si>
    <t xml:space="preserve">Needs Razorpay (company KYC).</t>
  </si>
  <si>
    <t xml:space="preserve">Premium: share of MAU paying</t>
  </si>
  <si>
    <t xml:space="preserve">You expect Premium to grow slowly, so this is kept low.</t>
  </si>
  <si>
    <t xml:space="preserve">Premium price per month (₹)</t>
  </si>
  <si>
    <t xml:space="preserve">Assumption; set to your real Premium price.</t>
  </si>
  <si>
    <t xml:space="preserve">Premium starts in month</t>
  </si>
  <si>
    <t xml:space="preserve">Brand partnerships + events, first month (₹ lakh)</t>
  </si>
  <si>
    <t xml:space="preserve">Campus events, college fests, brand challenges on Sparks / Open Mic.</t>
  </si>
  <si>
    <t xml:space="preserve">Brand partnerships + events start in month</t>
  </si>
  <si>
    <t xml:space="preserve">Brand partnerships + events monthly growth</t>
  </si>
  <si>
    <t xml:space="preserve">Payment and app-store fees on Premium + Spread</t>
  </si>
  <si>
    <t xml:space="preserve">Blend of Razorpay on web (~2%) and app-store fees on phones.</t>
  </si>
  <si>
    <t xml:space="preserve">Costs</t>
  </si>
  <si>
    <t xml:space="preserve">Founders (2), total per month (₹ lakh)</t>
  </si>
  <si>
    <t xml:space="preserve">Below-market founder salaries.</t>
  </si>
  <si>
    <t xml:space="preserve">Engineers (2), total per month (₹ lakh)</t>
  </si>
  <si>
    <t xml:space="preserve">Hyderabad full-stack / mobile.</t>
  </si>
  <si>
    <t xml:space="preserve">Designer, per month (₹ lakh)</t>
  </si>
  <si>
    <t xml:space="preserve">From month 2.</t>
  </si>
  <si>
    <t xml:space="preserve">Campus / community lead, per month (₹ lakh)</t>
  </si>
  <si>
    <t xml:space="preserve">Brand partnerships manager, per month (₹ lakh)</t>
  </si>
  <si>
    <t xml:space="preserve">From month 6; sells ads, events and brand deals.</t>
  </si>
  <si>
    <t xml:space="preserve">Cloud: fixed per month (₹ lakh)</t>
  </si>
  <si>
    <t xml:space="preserve">Database, hosting, AI services (Soulmoji, translator, Argue).</t>
  </si>
  <si>
    <t xml:space="preserve">Cloud: cost per MAU per month (₹)</t>
  </si>
  <si>
    <t xml:space="preserve">Video (Sparks) is the big driver.</t>
  </si>
  <si>
    <t xml:space="preserve">Marketing: campus events, creators (₹ lakh / month)</t>
  </si>
  <si>
    <t xml:space="preserve">Koo spent most of its money on paid promotion and shut down in 2024; keep this lean.</t>
  </si>
  <si>
    <t xml:space="preserve">Legal, accounting, tools (₹ lakh / month)</t>
  </si>
  <si>
    <t xml:space="preserve">One-time setup in month 1 (₹ lakh)</t>
  </si>
  <si>
    <t xml:space="preserve">Company, trademark, DPIIT, laptops / test phones.</t>
  </si>
  <si>
    <t xml:space="preserve">Monthly plan (₹ lakh)</t>
  </si>
  <si>
    <t xml:space="preserve">Month</t>
  </si>
  <si>
    <t xml:space="preserve">Users</t>
  </si>
  <si>
    <t xml:space="preserve">Monthly active users (MAU)</t>
  </si>
  <si>
    <t xml:space="preserve">Revenue</t>
  </si>
  <si>
    <t xml:space="preserve">Ads (feed, Spark ads, sponsored Argue)</t>
  </si>
  <si>
    <t xml:space="preserve">Less: payment / app-store fees</t>
  </si>
  <si>
    <t xml:space="preserve">Net revenue</t>
  </si>
  <si>
    <t xml:space="preserve">Team</t>
  </si>
  <si>
    <t xml:space="preserve">Total costs</t>
  </si>
  <si>
    <t xml:space="preserve">Net burn (costs − revenue)</t>
  </si>
  <si>
    <t xml:space="preserve">Cash left from the round</t>
  </si>
  <si>
    <t xml:space="preserve">Market context used in the deck</t>
  </si>
  <si>
    <t xml:space="preserve">India internet users</t>
  </si>
  <si>
    <t xml:space="preserve">~1.03 billion (70% of people), Oct 2025 data</t>
  </si>
  <si>
    <t xml:space="preserve">DataReportal, Digital 2026: India — https://datareportal.com/reports/digital-2026-india</t>
  </si>
  <si>
    <t xml:space="preserve">India social media user identities</t>
  </si>
  <si>
    <t xml:space="preserve">~500 million; 455 million aged 18+</t>
  </si>
  <si>
    <t xml:space="preserve">DataReportal, Digital 2026: India</t>
  </si>
  <si>
    <t xml:space="preserve">Instagram ad reach in India</t>
  </si>
  <si>
    <t xml:space="preserve">~481 million</t>
  </si>
  <si>
    <t xml:space="preserve">India total ad market</t>
  </si>
  <si>
    <t xml:space="preserve">₹1,55,105 crore (2025); ₹1,74,605 crore projected 2026</t>
  </si>
  <si>
    <t xml:space="preserve">Pitch Madison Advertising Report via exchange4media — https://www.exchange4media.com/digital-news/indias-ad-economy-crosses-digital-milestone-64-share-projected-for-2026-pmar-152319.html</t>
  </si>
  <si>
    <t xml:space="preserve">Digital share of ad market</t>
  </si>
  <si>
    <t xml:space="preserve">60% (2025) → 64% projected (2026)</t>
  </si>
  <si>
    <t xml:space="preserve">Same as above</t>
  </si>
  <si>
    <t xml:space="preserve">Social media ad spend in India</t>
  </si>
  <si>
    <t xml:space="preserve">₹12,143 crore in 2025, +16%</t>
  </si>
  <si>
    <t xml:space="preserve">Startup India Seed Fund Scheme</t>
  </si>
  <si>
    <t xml:space="preserve">Grant up to ₹20 lakh; debt / convertible up to ₹50 lakh; via incubators; DPIIT recognition, under 2 years old</t>
  </si>
  <si>
    <t xml:space="preserve">https://seedfund.startupindia.gov.in (summary from incorpx.io; verify on the official portal)</t>
  </si>
  <si>
    <t xml:space="preserve">Koo shutdown (2024)</t>
  </si>
  <si>
    <t xml:space="preserve">Raised ~$70M; most of a $30M round went to paid promotion; revenue negligible</t>
  </si>
  <si>
    <t xml:space="preserve">Finshots — https://finshots.in/archive/a-postmortem-of-koo/ ; TechCrunch 2 Jul 2024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</si>
</sst>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;\(#,##0.00\);\-"/>
    <numFmt numFmtId="166" formatCode="0.0%;\(0.0%\);\-"/>
    <numFmt numFmtId="167" formatCode="#,##0;\(#,##0\);\-"/>
    <numFmt numFmtId="168" formatCode="\₹#,##0;&quot;(₹&quot;#,##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9"/>
      <color rgb="FF555555"/>
      <name val="Arial"/>
      <family val="0"/>
      <charset val="1"/>
    </font>
    <font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9E4F7"/>
        <bgColor rgb="FFFFFFFF"/>
      </patternFill>
    </fill>
    <fill>
      <patternFill patternType="solid">
        <fgColor rgb="FF3B2A7A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9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B2A7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 t="s">
        <v>1</v>
      </c>
      <c r="B2" s="2"/>
    </row>
    <row r="3" customFormat="false" ht="15" hidden="false" customHeight="false" outlineLevel="0" collapsed="false">
      <c r="A3" s="4" t="s">
        <v>2</v>
      </c>
      <c r="B3" s="5"/>
    </row>
    <row r="4" customFormat="false" ht="15" hidden="false" customHeight="false" outlineLevel="0" collapsed="false">
      <c r="A4" s="6" t="s">
        <v>3</v>
      </c>
      <c r="B4" s="7" t="n">
        <f aca="false">Assumptions!$B$5</f>
        <v>150</v>
      </c>
    </row>
    <row r="5" customFormat="false" ht="15" hidden="false" customHeight="false" outlineLevel="0" collapsed="false">
      <c r="A5" s="6" t="s">
        <v>4</v>
      </c>
      <c r="B5" s="7" t="n">
        <f aca="false">Assumptions!$B$6</f>
        <v>1050</v>
      </c>
    </row>
    <row r="6" customFormat="false" ht="15" hidden="false" customHeight="false" outlineLevel="0" collapsed="false">
      <c r="A6" s="6" t="s">
        <v>5</v>
      </c>
      <c r="B6" s="8" t="n">
        <f aca="false">B4+B5</f>
        <v>1200</v>
      </c>
    </row>
    <row r="7" customFormat="false" ht="15" hidden="false" customHeight="false" outlineLevel="0" collapsed="false">
      <c r="A7" s="6" t="s">
        <v>6</v>
      </c>
      <c r="B7" s="9" t="n">
        <f aca="false">IFERROR(B4/B6,0)</f>
        <v>0.125</v>
      </c>
    </row>
    <row r="8" customFormat="false" ht="15" hidden="false" customHeight="false" outlineLevel="0" collapsed="false">
      <c r="A8" s="4" t="s">
        <v>7</v>
      </c>
      <c r="B8" s="5"/>
    </row>
    <row r="9" customFormat="false" ht="15" hidden="false" customHeight="false" outlineLevel="0" collapsed="false">
      <c r="A9" s="6" t="s">
        <v>8</v>
      </c>
      <c r="B9" s="10" t="n">
        <f aca="false">COUNTIF(Monthly!B24:Y24,"&gt;0")</f>
        <v>24</v>
      </c>
    </row>
    <row r="10" customFormat="false" ht="15" hidden="false" customHeight="false" outlineLevel="0" collapsed="false">
      <c r="A10" s="6" t="s">
        <v>9</v>
      </c>
      <c r="B10" s="7" t="n">
        <f aca="false">AVERAGE(Monthly!B23:M23)</f>
        <v>7.09007235604891</v>
      </c>
    </row>
    <row r="11" customFormat="false" ht="15" hidden="false" customHeight="false" outlineLevel="0" collapsed="false">
      <c r="A11" s="6" t="s">
        <v>10</v>
      </c>
      <c r="B11" s="7" t="n">
        <f aca="false">Monthly!S24</f>
        <v>31.9706616459346</v>
      </c>
    </row>
    <row r="12" customFormat="false" ht="15" hidden="false" customHeight="false" outlineLevel="0" collapsed="false">
      <c r="A12" s="4" t="s">
        <v>11</v>
      </c>
      <c r="B12" s="5"/>
    </row>
    <row r="13" customFormat="false" ht="15" hidden="false" customHeight="false" outlineLevel="0" collapsed="false">
      <c r="A13" s="6" t="s">
        <v>12</v>
      </c>
      <c r="B13" s="10" t="n">
        <f aca="false">Monthly!M5</f>
        <v>48902.3900032043</v>
      </c>
    </row>
    <row r="14" customFormat="false" ht="15" hidden="false" customHeight="false" outlineLevel="0" collapsed="false">
      <c r="A14" s="6" t="s">
        <v>13</v>
      </c>
      <c r="B14" s="10" t="n">
        <f aca="false">Monthly!S5</f>
        <v>96524.64674804</v>
      </c>
    </row>
    <row r="15" customFormat="false" ht="15" hidden="false" customHeight="false" outlineLevel="0" collapsed="false">
      <c r="A15" s="6" t="s">
        <v>14</v>
      </c>
      <c r="B15" s="10" t="n">
        <f aca="false">Monthly!Y5</f>
        <v>190522.537430654</v>
      </c>
    </row>
    <row r="16" customFormat="false" ht="15" hidden="false" customHeight="false" outlineLevel="0" collapsed="false">
      <c r="A16" s="6" t="s">
        <v>15</v>
      </c>
      <c r="B16" s="7" t="n">
        <f aca="false">Monthly!S13</f>
        <v>4.50954781315719</v>
      </c>
    </row>
    <row r="17" customFormat="false" ht="15" hidden="false" customHeight="false" outlineLevel="0" collapsed="false">
      <c r="A17" s="6" t="s">
        <v>16</v>
      </c>
      <c r="B17" s="7" t="n">
        <f aca="false">SUM(Monthly!N13:Y13)</f>
        <v>60.9632342440555</v>
      </c>
    </row>
    <row r="18" customFormat="false" ht="15" hidden="false" customHeight="false" outlineLevel="0" collapsed="false">
      <c r="A18" s="6" t="s">
        <v>17</v>
      </c>
      <c r="B18" s="11" t="n">
        <f aca="false">IFERROR(Monthly!Y13/Monthly!Y21,0)</f>
        <v>0.791702154134433</v>
      </c>
    </row>
    <row r="19" customFormat="false" ht="15" hidden="false" customHeight="false" outlineLevel="0" collapsed="false">
      <c r="A19" s="4" t="s">
        <v>18</v>
      </c>
      <c r="B19" s="5"/>
    </row>
    <row r="20" customFormat="false" ht="15" hidden="false" customHeight="false" outlineLevel="0" collapsed="false">
      <c r="A20" s="6" t="s">
        <v>19</v>
      </c>
      <c r="B20" s="7" t="n">
        <f aca="false">SUM(Monthly!B8:Y8)</f>
        <v>18.3595245920666</v>
      </c>
    </row>
    <row r="21" customFormat="false" ht="15" hidden="false" customHeight="false" outlineLevel="0" collapsed="false">
      <c r="A21" s="6" t="s">
        <v>20</v>
      </c>
      <c r="B21" s="7" t="n">
        <f aca="false">SUM(Monthly!B9:Y9)</f>
        <v>7.36399383682662</v>
      </c>
    </row>
    <row r="22" customFormat="false" ht="15" hidden="false" customHeight="false" outlineLevel="0" collapsed="false">
      <c r="A22" s="6" t="s">
        <v>21</v>
      </c>
      <c r="B22" s="7" t="n">
        <f aca="false">SUM(Monthly!B10:Y10)</f>
        <v>18.0590636724528</v>
      </c>
    </row>
    <row r="23" customFormat="false" ht="15" hidden="false" customHeight="false" outlineLevel="0" collapsed="false">
      <c r="A23" s="6" t="s">
        <v>22</v>
      </c>
      <c r="B23" s="7" t="n">
        <f aca="false">SUM(Monthly!B11:Y11)</f>
        <v>32.0012497212908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4"/>
    <col collapsed="false" customWidth="true" hidden="false" outlineLevel="0" max="3" min="3" style="0" width="10"/>
  </cols>
  <sheetData>
    <row r="1" customFormat="false" ht="17.35" hidden="false" customHeight="false" outlineLevel="0" collapsed="false">
      <c r="A1" s="1" t="s">
        <v>23</v>
      </c>
      <c r="B1" s="2"/>
      <c r="C1" s="2"/>
    </row>
    <row r="2" customFormat="false" ht="15" hidden="false" customHeight="false" outlineLevel="0" collapsed="false">
      <c r="A2" s="2"/>
      <c r="B2" s="2"/>
      <c r="C2" s="2"/>
    </row>
    <row r="3" customFormat="false" ht="15" hidden="false" customHeight="false" outlineLevel="0" collapsed="false">
      <c r="A3" s="12" t="s">
        <v>24</v>
      </c>
      <c r="B3" s="12" t="s">
        <v>25</v>
      </c>
      <c r="C3" s="12" t="s">
        <v>26</v>
      </c>
    </row>
    <row r="4" customFormat="false" ht="15" hidden="false" customHeight="false" outlineLevel="0" collapsed="false">
      <c r="A4" s="6" t="s">
        <v>27</v>
      </c>
      <c r="B4" s="7" t="n">
        <f aca="false">SUM(Monthly!B16:S16)</f>
        <v>95.6</v>
      </c>
      <c r="C4" s="13" t="n">
        <f aca="false">IFERROR(B4/$B$9,0)</f>
        <v>0.63133032454615</v>
      </c>
    </row>
    <row r="5" customFormat="false" ht="15" hidden="false" customHeight="false" outlineLevel="0" collapsed="false">
      <c r="A5" s="6" t="s">
        <v>28</v>
      </c>
      <c r="B5" s="7" t="n">
        <f aca="false">SUM(Monthly!B17:S17)</f>
        <v>15.3262760445173</v>
      </c>
      <c r="C5" s="13" t="n">
        <f aca="false">IFERROR(B5/$B$9,0)</f>
        <v>0.10121279110114</v>
      </c>
    </row>
    <row r="6" customFormat="false" ht="15" hidden="false" customHeight="false" outlineLevel="0" collapsed="false">
      <c r="A6" s="6" t="s">
        <v>29</v>
      </c>
      <c r="B6" s="7" t="n">
        <f aca="false">SUM(Monthly!B18:S18)</f>
        <v>27</v>
      </c>
      <c r="C6" s="13" t="n">
        <f aca="false">IFERROR(B6/$B$9,0)</f>
        <v>0.178304589568473</v>
      </c>
    </row>
    <row r="7" customFormat="false" ht="15" hidden="false" customHeight="false" outlineLevel="0" collapsed="false">
      <c r="A7" s="6" t="s">
        <v>30</v>
      </c>
      <c r="B7" s="7" t="n">
        <f aca="false">SUM(Monthly!B19:S19)</f>
        <v>9</v>
      </c>
      <c r="C7" s="13" t="n">
        <f aca="false">IFERROR(B7/$B$9,0)</f>
        <v>0.0594348631894911</v>
      </c>
    </row>
    <row r="8" customFormat="false" ht="15" hidden="false" customHeight="false" outlineLevel="0" collapsed="false">
      <c r="A8" s="6" t="s">
        <v>31</v>
      </c>
      <c r="B8" s="7" t="n">
        <f aca="false">SUM(Monthly!B20:S20)</f>
        <v>4.5</v>
      </c>
      <c r="C8" s="13" t="n">
        <f aca="false">IFERROR(B8/$B$9,0)</f>
        <v>0.0297174315947455</v>
      </c>
    </row>
    <row r="9" customFormat="false" ht="15" hidden="false" customHeight="false" outlineLevel="0" collapsed="false">
      <c r="A9" s="14" t="s">
        <v>32</v>
      </c>
      <c r="B9" s="15" t="n">
        <f aca="false">SUM(B4:B8)</f>
        <v>151.426276044517</v>
      </c>
      <c r="C9" s="2"/>
    </row>
    <row r="10" customFormat="false" ht="15" hidden="false" customHeight="false" outlineLevel="0" collapsed="false">
      <c r="A10" s="2" t="s">
        <v>33</v>
      </c>
      <c r="B10" s="7" t="n">
        <f aca="false">SUM(Monthly!B13:S13)</f>
        <v>33.3969376904519</v>
      </c>
      <c r="C10" s="2"/>
    </row>
    <row r="11" customFormat="false" ht="15" hidden="false" customHeight="false" outlineLevel="0" collapsed="false">
      <c r="A11" s="14" t="s">
        <v>34</v>
      </c>
      <c r="B11" s="15" t="n">
        <f aca="false">B9-B10</f>
        <v>118.029338354065</v>
      </c>
      <c r="C11" s="2"/>
    </row>
    <row r="12" customFormat="false" ht="15" hidden="false" customHeight="false" outlineLevel="0" collapsed="false">
      <c r="A12" s="2" t="s">
        <v>35</v>
      </c>
      <c r="B12" s="7" t="n">
        <f aca="false">Assumptions!$B$5</f>
        <v>150</v>
      </c>
      <c r="C12" s="2"/>
    </row>
    <row r="13" customFormat="false" ht="15" hidden="false" customHeight="false" outlineLevel="0" collapsed="false">
      <c r="A13" s="2" t="s">
        <v>36</v>
      </c>
      <c r="B13" s="15" t="n">
        <f aca="false">B12-B11</f>
        <v>31.9706616459346</v>
      </c>
      <c r="C1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3" min="3" style="0" width="95"/>
  </cols>
  <sheetData>
    <row r="1" customFormat="false" ht="17.35" hidden="false" customHeight="false" outlineLevel="0" collapsed="false">
      <c r="A1" s="1" t="s">
        <v>37</v>
      </c>
      <c r="B1" s="2"/>
      <c r="C1" s="2"/>
    </row>
    <row r="2" customFormat="false" ht="15" hidden="false" customHeight="false" outlineLevel="0" collapsed="false">
      <c r="A2" s="3" t="s">
        <v>38</v>
      </c>
      <c r="B2" s="2"/>
      <c r="C2" s="2"/>
    </row>
    <row r="3" customFormat="false" ht="15" hidden="false" customHeight="false" outlineLevel="0" collapsed="false">
      <c r="A3" s="2"/>
      <c r="B3" s="2"/>
      <c r="C3" s="2"/>
    </row>
    <row r="4" customFormat="false" ht="15" hidden="false" customHeight="false" outlineLevel="0" collapsed="false">
      <c r="A4" s="4" t="s">
        <v>2</v>
      </c>
      <c r="B4" s="5"/>
      <c r="C4" s="5"/>
    </row>
    <row r="5" customFormat="false" ht="15" hidden="false" customHeight="false" outlineLevel="0" collapsed="false">
      <c r="A5" s="6" t="s">
        <v>39</v>
      </c>
      <c r="B5" s="16" t="n">
        <v>150</v>
      </c>
      <c r="C5" s="17" t="s">
        <v>40</v>
      </c>
    </row>
    <row r="6" customFormat="false" ht="15" hidden="false" customHeight="false" outlineLevel="0" collapsed="false">
      <c r="A6" s="6" t="s">
        <v>4</v>
      </c>
      <c r="B6" s="16" t="n">
        <v>1050</v>
      </c>
      <c r="C6" s="17" t="s">
        <v>41</v>
      </c>
    </row>
    <row r="7" customFormat="false" ht="15" hidden="false" customHeight="false" outlineLevel="0" collapsed="false">
      <c r="A7" s="4" t="s">
        <v>42</v>
      </c>
      <c r="B7" s="5"/>
      <c r="C7" s="5"/>
    </row>
    <row r="8" customFormat="false" ht="15" hidden="false" customHeight="false" outlineLevel="0" collapsed="false">
      <c r="A8" s="6" t="s">
        <v>43</v>
      </c>
      <c r="B8" s="18" t="n">
        <v>2000</v>
      </c>
      <c r="C8" s="17" t="s">
        <v>44</v>
      </c>
    </row>
    <row r="9" customFormat="false" ht="15" hidden="false" customHeight="false" outlineLevel="0" collapsed="false">
      <c r="A9" s="6" t="s">
        <v>45</v>
      </c>
      <c r="B9" s="19" t="n">
        <v>0.45</v>
      </c>
      <c r="C9" s="17" t="s">
        <v>46</v>
      </c>
    </row>
    <row r="10" customFormat="false" ht="15" hidden="false" customHeight="false" outlineLevel="0" collapsed="false">
      <c r="A10" s="6" t="s">
        <v>47</v>
      </c>
      <c r="B10" s="19" t="n">
        <v>0.25</v>
      </c>
      <c r="C10" s="17"/>
    </row>
    <row r="11" customFormat="false" ht="15" hidden="false" customHeight="false" outlineLevel="0" collapsed="false">
      <c r="A11" s="6" t="s">
        <v>48</v>
      </c>
      <c r="B11" s="19" t="n">
        <v>0.12</v>
      </c>
      <c r="C11" s="17" t="s">
        <v>49</v>
      </c>
    </row>
    <row r="12" customFormat="false" ht="15" hidden="false" customHeight="false" outlineLevel="0" collapsed="false">
      <c r="A12" s="4" t="s">
        <v>50</v>
      </c>
      <c r="B12" s="5"/>
      <c r="C12" s="5"/>
    </row>
    <row r="13" customFormat="false" ht="15" hidden="false" customHeight="false" outlineLevel="0" collapsed="false">
      <c r="A13" s="6" t="s">
        <v>51</v>
      </c>
      <c r="B13" s="20" t="n">
        <v>60</v>
      </c>
      <c r="C13" s="17" t="s">
        <v>52</v>
      </c>
    </row>
    <row r="14" customFormat="false" ht="15" hidden="false" customHeight="false" outlineLevel="0" collapsed="false">
      <c r="A14" s="6" t="s">
        <v>53</v>
      </c>
      <c r="B14" s="21" t="n">
        <v>0.4</v>
      </c>
      <c r="C14" s="17" t="s">
        <v>54</v>
      </c>
    </row>
    <row r="15" customFormat="false" ht="15" hidden="false" customHeight="false" outlineLevel="0" collapsed="false">
      <c r="A15" s="6" t="s">
        <v>55</v>
      </c>
      <c r="B15" s="22" t="n">
        <v>50</v>
      </c>
      <c r="C15" s="17" t="s">
        <v>56</v>
      </c>
    </row>
    <row r="16" customFormat="false" ht="15" hidden="false" customHeight="false" outlineLevel="0" collapsed="false">
      <c r="A16" s="6" t="s">
        <v>57</v>
      </c>
      <c r="B16" s="20" t="n">
        <v>4</v>
      </c>
      <c r="C16" s="17"/>
    </row>
    <row r="17" customFormat="false" ht="15" hidden="false" customHeight="false" outlineLevel="0" collapsed="false">
      <c r="A17" s="6" t="s">
        <v>58</v>
      </c>
      <c r="B17" s="21" t="n">
        <v>0.004</v>
      </c>
      <c r="C17" s="17" t="s">
        <v>59</v>
      </c>
    </row>
    <row r="18" customFormat="false" ht="15" hidden="false" customHeight="false" outlineLevel="0" collapsed="false">
      <c r="A18" s="6" t="s">
        <v>60</v>
      </c>
      <c r="B18" s="23" t="n">
        <v>120</v>
      </c>
      <c r="C18" s="17" t="s">
        <v>61</v>
      </c>
    </row>
    <row r="19" customFormat="false" ht="15" hidden="false" customHeight="false" outlineLevel="0" collapsed="false">
      <c r="A19" s="6" t="s">
        <v>62</v>
      </c>
      <c r="B19" s="20" t="n">
        <v>3</v>
      </c>
      <c r="C19" s="17" t="s">
        <v>63</v>
      </c>
    </row>
    <row r="20" customFormat="false" ht="15" hidden="false" customHeight="false" outlineLevel="0" collapsed="false">
      <c r="A20" s="6" t="s">
        <v>64</v>
      </c>
      <c r="B20" s="19" t="n">
        <v>0.008</v>
      </c>
      <c r="C20" s="17" t="s">
        <v>65</v>
      </c>
    </row>
    <row r="21" customFormat="false" ht="15" hidden="false" customHeight="false" outlineLevel="0" collapsed="false">
      <c r="A21" s="6" t="s">
        <v>66</v>
      </c>
      <c r="B21" s="23" t="n">
        <v>149</v>
      </c>
      <c r="C21" s="17" t="s">
        <v>67</v>
      </c>
    </row>
    <row r="22" customFormat="false" ht="15" hidden="false" customHeight="false" outlineLevel="0" collapsed="false">
      <c r="A22" s="6" t="s">
        <v>68</v>
      </c>
      <c r="B22" s="20" t="n">
        <v>6</v>
      </c>
      <c r="C22" s="17"/>
    </row>
    <row r="23" customFormat="false" ht="15" hidden="false" customHeight="false" outlineLevel="0" collapsed="false">
      <c r="A23" s="6" t="s">
        <v>69</v>
      </c>
      <c r="B23" s="16" t="n">
        <v>0.5</v>
      </c>
      <c r="C23" s="17" t="s">
        <v>70</v>
      </c>
    </row>
    <row r="24" customFormat="false" ht="15" hidden="false" customHeight="false" outlineLevel="0" collapsed="false">
      <c r="A24" s="6" t="s">
        <v>71</v>
      </c>
      <c r="B24" s="20" t="n">
        <v>4</v>
      </c>
      <c r="C24" s="17"/>
    </row>
    <row r="25" customFormat="false" ht="15" hidden="false" customHeight="false" outlineLevel="0" collapsed="false">
      <c r="A25" s="6" t="s">
        <v>72</v>
      </c>
      <c r="B25" s="21" t="n">
        <v>0.1</v>
      </c>
      <c r="C25" s="17"/>
    </row>
    <row r="26" customFormat="false" ht="15" hidden="false" customHeight="false" outlineLevel="0" collapsed="false">
      <c r="A26" s="6" t="s">
        <v>73</v>
      </c>
      <c r="B26" s="21" t="n">
        <v>0.1</v>
      </c>
      <c r="C26" s="17" t="s">
        <v>74</v>
      </c>
    </row>
    <row r="27" customFormat="false" ht="15" hidden="false" customHeight="false" outlineLevel="0" collapsed="false">
      <c r="A27" s="4" t="s">
        <v>75</v>
      </c>
      <c r="B27" s="5"/>
      <c r="C27" s="5"/>
    </row>
    <row r="28" customFormat="false" ht="15" hidden="false" customHeight="false" outlineLevel="0" collapsed="false">
      <c r="A28" s="6" t="s">
        <v>76</v>
      </c>
      <c r="B28" s="16" t="n">
        <v>1.5</v>
      </c>
      <c r="C28" s="17" t="s">
        <v>77</v>
      </c>
    </row>
    <row r="29" customFormat="false" ht="15" hidden="false" customHeight="false" outlineLevel="0" collapsed="false">
      <c r="A29" s="6" t="s">
        <v>78</v>
      </c>
      <c r="B29" s="24" t="n">
        <v>2</v>
      </c>
      <c r="C29" s="17" t="s">
        <v>79</v>
      </c>
    </row>
    <row r="30" customFormat="false" ht="15" hidden="false" customHeight="false" outlineLevel="0" collapsed="false">
      <c r="A30" s="6" t="s">
        <v>80</v>
      </c>
      <c r="B30" s="24" t="n">
        <v>0.7</v>
      </c>
      <c r="C30" s="17" t="s">
        <v>81</v>
      </c>
    </row>
    <row r="31" customFormat="false" ht="15" hidden="false" customHeight="false" outlineLevel="0" collapsed="false">
      <c r="A31" s="6" t="s">
        <v>82</v>
      </c>
      <c r="B31" s="24" t="n">
        <v>0.5</v>
      </c>
      <c r="C31" s="17"/>
    </row>
    <row r="32" customFormat="false" ht="15" hidden="false" customHeight="false" outlineLevel="0" collapsed="false">
      <c r="A32" s="6" t="s">
        <v>83</v>
      </c>
      <c r="B32" s="24" t="n">
        <v>0.9</v>
      </c>
      <c r="C32" s="17" t="s">
        <v>84</v>
      </c>
    </row>
    <row r="33" customFormat="false" ht="15" hidden="false" customHeight="false" outlineLevel="0" collapsed="false">
      <c r="A33" s="6" t="s">
        <v>85</v>
      </c>
      <c r="B33" s="24" t="n">
        <v>0.3</v>
      </c>
      <c r="C33" s="17" t="s">
        <v>86</v>
      </c>
    </row>
    <row r="34" customFormat="false" ht="15" hidden="false" customHeight="false" outlineLevel="0" collapsed="false">
      <c r="A34" s="6" t="s">
        <v>87</v>
      </c>
      <c r="B34" s="22" t="n">
        <v>1.5</v>
      </c>
      <c r="C34" s="17" t="s">
        <v>88</v>
      </c>
    </row>
    <row r="35" customFormat="false" ht="15" hidden="false" customHeight="false" outlineLevel="0" collapsed="false">
      <c r="A35" s="6" t="s">
        <v>89</v>
      </c>
      <c r="B35" s="16" t="n">
        <v>1.5</v>
      </c>
      <c r="C35" s="17" t="s">
        <v>90</v>
      </c>
    </row>
    <row r="36" customFormat="false" ht="15" hidden="false" customHeight="false" outlineLevel="0" collapsed="false">
      <c r="A36" s="6" t="s">
        <v>91</v>
      </c>
      <c r="B36" s="24" t="n">
        <v>0.5</v>
      </c>
      <c r="C36" s="17"/>
    </row>
    <row r="37" customFormat="false" ht="15" hidden="false" customHeight="false" outlineLevel="0" collapsed="false">
      <c r="A37" s="6" t="s">
        <v>92</v>
      </c>
      <c r="B37" s="24" t="n">
        <v>4.5</v>
      </c>
      <c r="C37" s="17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5" min="2" style="0" width="9"/>
  </cols>
  <sheetData>
    <row r="1" customFormat="false" ht="17.35" hidden="false" customHeight="false" outlineLevel="0" collapsed="false">
      <c r="A1" s="1" t="s">
        <v>94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customFormat="false" ht="15" hidden="false" customHeight="false" outlineLevel="0" collapsed="false">
      <c r="A3" s="12" t="s">
        <v>95</v>
      </c>
      <c r="B3" s="25" t="n">
        <v>1</v>
      </c>
      <c r="C3" s="25" t="n">
        <v>2</v>
      </c>
      <c r="D3" s="25" t="n">
        <v>3</v>
      </c>
      <c r="E3" s="25" t="n">
        <v>4</v>
      </c>
      <c r="F3" s="25" t="n">
        <v>5</v>
      </c>
      <c r="G3" s="25" t="n">
        <v>6</v>
      </c>
      <c r="H3" s="25" t="n">
        <v>7</v>
      </c>
      <c r="I3" s="25" t="n">
        <v>8</v>
      </c>
      <c r="J3" s="25" t="n">
        <v>9</v>
      </c>
      <c r="K3" s="25" t="n">
        <v>10</v>
      </c>
      <c r="L3" s="25" t="n">
        <v>11</v>
      </c>
      <c r="M3" s="25" t="n">
        <v>12</v>
      </c>
      <c r="N3" s="25" t="n">
        <v>13</v>
      </c>
      <c r="O3" s="25" t="n">
        <v>14</v>
      </c>
      <c r="P3" s="25" t="n">
        <v>15</v>
      </c>
      <c r="Q3" s="25" t="n">
        <v>16</v>
      </c>
      <c r="R3" s="25" t="n">
        <v>17</v>
      </c>
      <c r="S3" s="25" t="n">
        <v>18</v>
      </c>
      <c r="T3" s="25" t="n">
        <v>19</v>
      </c>
      <c r="U3" s="25" t="n">
        <v>20</v>
      </c>
      <c r="V3" s="25" t="n">
        <v>21</v>
      </c>
      <c r="W3" s="25" t="n">
        <v>22</v>
      </c>
      <c r="X3" s="25" t="n">
        <v>23</v>
      </c>
      <c r="Y3" s="25" t="n">
        <v>24</v>
      </c>
    </row>
    <row r="4" customFormat="false" ht="15" hidden="false" customHeight="false" outlineLevel="0" collapsed="false">
      <c r="A4" s="4" t="s">
        <v>96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customFormat="false" ht="15" hidden="false" customHeight="false" outlineLevel="0" collapsed="false">
      <c r="A5" s="6" t="s">
        <v>97</v>
      </c>
      <c r="B5" s="26" t="n">
        <f aca="false">Assumptions!$B$8</f>
        <v>2000</v>
      </c>
      <c r="C5" s="26" t="n">
        <f aca="false">B5*(1+IF(C$3&lt;=6,Assumptions!$B$9,IF(C$3&lt;=12,Assumptions!$B$10,Assumptions!$B$11)))</f>
        <v>2900</v>
      </c>
      <c r="D5" s="26" t="n">
        <f aca="false">C5*(1+IF(D$3&lt;=6,Assumptions!$B$9,IF(D$3&lt;=12,Assumptions!$B$10,Assumptions!$B$11)))</f>
        <v>4205</v>
      </c>
      <c r="E5" s="26" t="n">
        <f aca="false">D5*(1+IF(E$3&lt;=6,Assumptions!$B$9,IF(E$3&lt;=12,Assumptions!$B$10,Assumptions!$B$11)))</f>
        <v>6097.25</v>
      </c>
      <c r="F5" s="26" t="n">
        <f aca="false">E5*(1+IF(F$3&lt;=6,Assumptions!$B$9,IF(F$3&lt;=12,Assumptions!$B$10,Assumptions!$B$11)))</f>
        <v>8841.0125</v>
      </c>
      <c r="G5" s="26" t="n">
        <f aca="false">F5*(1+IF(G$3&lt;=6,Assumptions!$B$9,IF(G$3&lt;=12,Assumptions!$B$10,Assumptions!$B$11)))</f>
        <v>12819.468125</v>
      </c>
      <c r="H5" s="26" t="n">
        <f aca="false">G5*(1+IF(H$3&lt;=6,Assumptions!$B$9,IF(H$3&lt;=12,Assumptions!$B$10,Assumptions!$B$11)))</f>
        <v>16024.33515625</v>
      </c>
      <c r="I5" s="26" t="n">
        <f aca="false">H5*(1+IF(I$3&lt;=6,Assumptions!$B$9,IF(I$3&lt;=12,Assumptions!$B$10,Assumptions!$B$11)))</f>
        <v>20030.4189453125</v>
      </c>
      <c r="J5" s="26" t="n">
        <f aca="false">I5*(1+IF(J$3&lt;=6,Assumptions!$B$9,IF(J$3&lt;=12,Assumptions!$B$10,Assumptions!$B$11)))</f>
        <v>25038.0236816406</v>
      </c>
      <c r="K5" s="26" t="n">
        <f aca="false">J5*(1+IF(K$3&lt;=6,Assumptions!$B$9,IF(K$3&lt;=12,Assumptions!$B$10,Assumptions!$B$11)))</f>
        <v>31297.5296020508</v>
      </c>
      <c r="L5" s="26" t="n">
        <f aca="false">K5*(1+IF(L$3&lt;=6,Assumptions!$B$9,IF(L$3&lt;=12,Assumptions!$B$10,Assumptions!$B$11)))</f>
        <v>39121.9120025635</v>
      </c>
      <c r="M5" s="26" t="n">
        <f aca="false">L5*(1+IF(M$3&lt;=6,Assumptions!$B$9,IF(M$3&lt;=12,Assumptions!$B$10,Assumptions!$B$11)))</f>
        <v>48902.3900032043</v>
      </c>
      <c r="N5" s="26" t="n">
        <f aca="false">M5*(1+IF(N$3&lt;=6,Assumptions!$B$9,IF(N$3&lt;=12,Assumptions!$B$10,Assumptions!$B$11)))</f>
        <v>54770.6768035889</v>
      </c>
      <c r="O5" s="26" t="n">
        <f aca="false">N5*(1+IF(O$3&lt;=6,Assumptions!$B$9,IF(O$3&lt;=12,Assumptions!$B$10,Assumptions!$B$11)))</f>
        <v>61343.1580200195</v>
      </c>
      <c r="P5" s="26" t="n">
        <f aca="false">O5*(1+IF(P$3&lt;=6,Assumptions!$B$9,IF(P$3&lt;=12,Assumptions!$B$10,Assumptions!$B$11)))</f>
        <v>68704.3369824219</v>
      </c>
      <c r="Q5" s="26" t="n">
        <f aca="false">P5*(1+IF(Q$3&lt;=6,Assumptions!$B$9,IF(Q$3&lt;=12,Assumptions!$B$10,Assumptions!$B$11)))</f>
        <v>76948.8574203125</v>
      </c>
      <c r="R5" s="26" t="n">
        <f aca="false">Q5*(1+IF(R$3&lt;=6,Assumptions!$B$9,IF(R$3&lt;=12,Assumptions!$B$10,Assumptions!$B$11)))</f>
        <v>86182.72031075</v>
      </c>
      <c r="S5" s="26" t="n">
        <f aca="false">R5*(1+IF(S$3&lt;=6,Assumptions!$B$9,IF(S$3&lt;=12,Assumptions!$B$10,Assumptions!$B$11)))</f>
        <v>96524.64674804</v>
      </c>
      <c r="T5" s="26" t="n">
        <f aca="false">S5*(1+IF(T$3&lt;=6,Assumptions!$B$9,IF(T$3&lt;=12,Assumptions!$B$10,Assumptions!$B$11)))</f>
        <v>108107.604357805</v>
      </c>
      <c r="U5" s="26" t="n">
        <f aca="false">T5*(1+IF(U$3&lt;=6,Assumptions!$B$9,IF(U$3&lt;=12,Assumptions!$B$10,Assumptions!$B$11)))</f>
        <v>121080.516880741</v>
      </c>
      <c r="V5" s="26" t="n">
        <f aca="false">U5*(1+IF(V$3&lt;=6,Assumptions!$B$9,IF(V$3&lt;=12,Assumptions!$B$10,Assumptions!$B$11)))</f>
        <v>135610.17890643</v>
      </c>
      <c r="W5" s="26" t="n">
        <f aca="false">V5*(1+IF(W$3&lt;=6,Assumptions!$B$9,IF(W$3&lt;=12,Assumptions!$B$10,Assumptions!$B$11)))</f>
        <v>151883.400375202</v>
      </c>
      <c r="X5" s="26" t="n">
        <f aca="false">W5*(1+IF(X$3&lt;=6,Assumptions!$B$9,IF(X$3&lt;=12,Assumptions!$B$10,Assumptions!$B$11)))</f>
        <v>170109.408420226</v>
      </c>
      <c r="Y5" s="26" t="n">
        <f aca="false">X5*(1+IF(Y$3&lt;=6,Assumptions!$B$9,IF(Y$3&lt;=12,Assumptions!$B$10,Assumptions!$B$11)))</f>
        <v>190522.537430654</v>
      </c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customFormat="false" ht="15" hidden="false" customHeight="false" outlineLevel="0" collapsed="false">
      <c r="A7" s="4" t="s">
        <v>98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customFormat="false" ht="15" hidden="false" customHeight="false" outlineLevel="0" collapsed="false">
      <c r="A8" s="6" t="s">
        <v>99</v>
      </c>
      <c r="B8" s="8" t="n">
        <f aca="false">IF(B$3&gt;=Assumptions!$B$16,B5*Assumptions!$B$13*Assumptions!$B$14*Assumptions!$B$15/1000/100000,0)</f>
        <v>0</v>
      </c>
      <c r="C8" s="8" t="n">
        <f aca="false">IF(C$3&gt;=Assumptions!$B$16,C5*Assumptions!$B$13*Assumptions!$B$14*Assumptions!$B$15/1000/100000,0)</f>
        <v>0</v>
      </c>
      <c r="D8" s="8" t="n">
        <f aca="false">IF(D$3&gt;=Assumptions!$B$16,D5*Assumptions!$B$13*Assumptions!$B$14*Assumptions!$B$15/1000/100000,0)</f>
        <v>0</v>
      </c>
      <c r="E8" s="8" t="n">
        <f aca="false">IF(E$3&gt;=Assumptions!$B$16,E5*Assumptions!$B$13*Assumptions!$B$14*Assumptions!$B$15/1000/100000,0)</f>
        <v>0.073167</v>
      </c>
      <c r="F8" s="8" t="n">
        <f aca="false">IF(F$3&gt;=Assumptions!$B$16,F5*Assumptions!$B$13*Assumptions!$B$14*Assumptions!$B$15/1000/100000,0)</f>
        <v>0.10609215</v>
      </c>
      <c r="G8" s="8" t="n">
        <f aca="false">IF(G$3&gt;=Assumptions!$B$16,G5*Assumptions!$B$13*Assumptions!$B$14*Assumptions!$B$15/1000/100000,0)</f>
        <v>0.1538336175</v>
      </c>
      <c r="H8" s="8" t="n">
        <f aca="false">IF(H$3&gt;=Assumptions!$B$16,H5*Assumptions!$B$13*Assumptions!$B$14*Assumptions!$B$15/1000/100000,0)</f>
        <v>0.192292021875</v>
      </c>
      <c r="I8" s="8" t="n">
        <f aca="false">IF(I$3&gt;=Assumptions!$B$16,I5*Assumptions!$B$13*Assumptions!$B$14*Assumptions!$B$15/1000/100000,0)</f>
        <v>0.24036502734375</v>
      </c>
      <c r="J8" s="8" t="n">
        <f aca="false">IF(J$3&gt;=Assumptions!$B$16,J5*Assumptions!$B$13*Assumptions!$B$14*Assumptions!$B$15/1000/100000,0)</f>
        <v>0.300456284179687</v>
      </c>
      <c r="K8" s="8" t="n">
        <f aca="false">IF(K$3&gt;=Assumptions!$B$16,K5*Assumptions!$B$13*Assumptions!$B$14*Assumptions!$B$15/1000/100000,0)</f>
        <v>0.375570355224609</v>
      </c>
      <c r="L8" s="8" t="n">
        <f aca="false">IF(L$3&gt;=Assumptions!$B$16,L5*Assumptions!$B$13*Assumptions!$B$14*Assumptions!$B$15/1000/100000,0)</f>
        <v>0.469462944030762</v>
      </c>
      <c r="M8" s="8" t="n">
        <f aca="false">IF(M$3&gt;=Assumptions!$B$16,M5*Assumptions!$B$13*Assumptions!$B$14*Assumptions!$B$15/1000/100000,0)</f>
        <v>0.586828680038452</v>
      </c>
      <c r="N8" s="8" t="n">
        <f aca="false">IF(N$3&gt;=Assumptions!$B$16,N5*Assumptions!$B$13*Assumptions!$B$14*Assumptions!$B$15/1000/100000,0)</f>
        <v>0.657248121643067</v>
      </c>
      <c r="O8" s="8" t="n">
        <f aca="false">IF(O$3&gt;=Assumptions!$B$16,O5*Assumptions!$B$13*Assumptions!$B$14*Assumptions!$B$15/1000/100000,0)</f>
        <v>0.736117896240235</v>
      </c>
      <c r="P8" s="8" t="n">
        <f aca="false">IF(P$3&gt;=Assumptions!$B$16,P5*Assumptions!$B$13*Assumptions!$B$14*Assumptions!$B$15/1000/100000,0)</f>
        <v>0.824452043789063</v>
      </c>
      <c r="Q8" s="8" t="n">
        <f aca="false">IF(Q$3&gt;=Assumptions!$B$16,Q5*Assumptions!$B$13*Assumptions!$B$14*Assumptions!$B$15/1000/100000,0)</f>
        <v>0.92338628904375</v>
      </c>
      <c r="R8" s="8" t="n">
        <f aca="false">IF(R$3&gt;=Assumptions!$B$16,R5*Assumptions!$B$13*Assumptions!$B$14*Assumptions!$B$15/1000/100000,0)</f>
        <v>1.034192643729</v>
      </c>
      <c r="S8" s="8" t="n">
        <f aca="false">IF(S$3&gt;=Assumptions!$B$16,S5*Assumptions!$B$13*Assumptions!$B$14*Assumptions!$B$15/1000/100000,0)</f>
        <v>1.15829576097648</v>
      </c>
      <c r="T8" s="8" t="n">
        <f aca="false">IF(T$3&gt;=Assumptions!$B$16,T5*Assumptions!$B$13*Assumptions!$B$14*Assumptions!$B$15/1000/100000,0)</f>
        <v>1.29729125229366</v>
      </c>
      <c r="U8" s="8" t="n">
        <f aca="false">IF(U$3&gt;=Assumptions!$B$16,U5*Assumptions!$B$13*Assumptions!$B$14*Assumptions!$B$15/1000/100000,0)</f>
        <v>1.4529662025689</v>
      </c>
      <c r="V8" s="8" t="n">
        <f aca="false">IF(V$3&gt;=Assumptions!$B$16,V5*Assumptions!$B$13*Assumptions!$B$14*Assumptions!$B$15/1000/100000,0)</f>
        <v>1.62732214687716</v>
      </c>
      <c r="W8" s="8" t="n">
        <f aca="false">IF(W$3&gt;=Assumptions!$B$16,W5*Assumptions!$B$13*Assumptions!$B$14*Assumptions!$B$15/1000/100000,0)</f>
        <v>1.82260080450243</v>
      </c>
      <c r="X8" s="8" t="n">
        <f aca="false">IF(X$3&gt;=Assumptions!$B$16,X5*Assumptions!$B$13*Assumptions!$B$14*Assumptions!$B$15/1000/100000,0)</f>
        <v>2.04131290104272</v>
      </c>
      <c r="Y8" s="8" t="n">
        <f aca="false">IF(Y$3&gt;=Assumptions!$B$16,Y5*Assumptions!$B$13*Assumptions!$B$14*Assumptions!$B$15/1000/100000,0)</f>
        <v>2.28627044916784</v>
      </c>
    </row>
    <row r="9" customFormat="false" ht="15" hidden="false" customHeight="false" outlineLevel="0" collapsed="false">
      <c r="A9" s="6" t="s">
        <v>20</v>
      </c>
      <c r="B9" s="8" t="n">
        <f aca="false">IF(B$3&gt;=Assumptions!$B$19,B5*Assumptions!$B$17*Assumptions!$B$18/100000,0)</f>
        <v>0</v>
      </c>
      <c r="C9" s="8" t="n">
        <f aca="false">IF(C$3&gt;=Assumptions!$B$19,C5*Assumptions!$B$17*Assumptions!$B$18/100000,0)</f>
        <v>0</v>
      </c>
      <c r="D9" s="8" t="n">
        <f aca="false">IF(D$3&gt;=Assumptions!$B$19,D5*Assumptions!$B$17*Assumptions!$B$18/100000,0)</f>
        <v>0.020184</v>
      </c>
      <c r="E9" s="8" t="n">
        <f aca="false">IF(E$3&gt;=Assumptions!$B$19,E5*Assumptions!$B$17*Assumptions!$B$18/100000,0)</f>
        <v>0.0292668</v>
      </c>
      <c r="F9" s="8" t="n">
        <f aca="false">IF(F$3&gt;=Assumptions!$B$19,F5*Assumptions!$B$17*Assumptions!$B$18/100000,0)</f>
        <v>0.04243686</v>
      </c>
      <c r="G9" s="8" t="n">
        <f aca="false">IF(G$3&gt;=Assumptions!$B$19,G5*Assumptions!$B$17*Assumptions!$B$18/100000,0)</f>
        <v>0.061533447</v>
      </c>
      <c r="H9" s="8" t="n">
        <f aca="false">IF(H$3&gt;=Assumptions!$B$19,H5*Assumptions!$B$17*Assumptions!$B$18/100000,0)</f>
        <v>0.07691680875</v>
      </c>
      <c r="I9" s="8" t="n">
        <f aca="false">IF(I$3&gt;=Assumptions!$B$19,I5*Assumptions!$B$17*Assumptions!$B$18/100000,0)</f>
        <v>0.0961460109375</v>
      </c>
      <c r="J9" s="8" t="n">
        <f aca="false">IF(J$3&gt;=Assumptions!$B$19,J5*Assumptions!$B$17*Assumptions!$B$18/100000,0)</f>
        <v>0.120182513671875</v>
      </c>
      <c r="K9" s="8" t="n">
        <f aca="false">IF(K$3&gt;=Assumptions!$B$19,K5*Assumptions!$B$17*Assumptions!$B$18/100000,0)</f>
        <v>0.150228142089844</v>
      </c>
      <c r="L9" s="8" t="n">
        <f aca="false">IF(L$3&gt;=Assumptions!$B$19,L5*Assumptions!$B$17*Assumptions!$B$18/100000,0)</f>
        <v>0.187785177612305</v>
      </c>
      <c r="M9" s="8" t="n">
        <f aca="false">IF(M$3&gt;=Assumptions!$B$19,M5*Assumptions!$B$17*Assumptions!$B$18/100000,0)</f>
        <v>0.234731472015381</v>
      </c>
      <c r="N9" s="8" t="n">
        <f aca="false">IF(N$3&gt;=Assumptions!$B$19,N5*Assumptions!$B$17*Assumptions!$B$18/100000,0)</f>
        <v>0.262899248657227</v>
      </c>
      <c r="O9" s="8" t="n">
        <f aca="false">IF(O$3&gt;=Assumptions!$B$19,O5*Assumptions!$B$17*Assumptions!$B$18/100000,0)</f>
        <v>0.294447158496094</v>
      </c>
      <c r="P9" s="8" t="n">
        <f aca="false">IF(P$3&gt;=Assumptions!$B$19,P5*Assumptions!$B$17*Assumptions!$B$18/100000,0)</f>
        <v>0.329780817515625</v>
      </c>
      <c r="Q9" s="8" t="n">
        <f aca="false">IF(Q$3&gt;=Assumptions!$B$19,Q5*Assumptions!$B$17*Assumptions!$B$18/100000,0)</f>
        <v>0.3693545156175</v>
      </c>
      <c r="R9" s="8" t="n">
        <f aca="false">IF(R$3&gt;=Assumptions!$B$19,R5*Assumptions!$B$17*Assumptions!$B$18/100000,0)</f>
        <v>0.4136770574916</v>
      </c>
      <c r="S9" s="8" t="n">
        <f aca="false">IF(S$3&gt;=Assumptions!$B$19,S5*Assumptions!$B$17*Assumptions!$B$18/100000,0)</f>
        <v>0.463318304390592</v>
      </c>
      <c r="T9" s="8" t="n">
        <f aca="false">IF(T$3&gt;=Assumptions!$B$19,T5*Assumptions!$B$17*Assumptions!$B$18/100000,0)</f>
        <v>0.518916500917463</v>
      </c>
      <c r="U9" s="8" t="n">
        <f aca="false">IF(U$3&gt;=Assumptions!$B$19,U5*Assumptions!$B$17*Assumptions!$B$18/100000,0)</f>
        <v>0.581186481027559</v>
      </c>
      <c r="V9" s="8" t="n">
        <f aca="false">IF(V$3&gt;=Assumptions!$B$19,V5*Assumptions!$B$17*Assumptions!$B$18/100000,0)</f>
        <v>0.650928858750866</v>
      </c>
      <c r="W9" s="8" t="n">
        <f aca="false">IF(W$3&gt;=Assumptions!$B$19,W5*Assumptions!$B$17*Assumptions!$B$18/100000,0)</f>
        <v>0.72904032180097</v>
      </c>
      <c r="X9" s="8" t="n">
        <f aca="false">IF(X$3&gt;=Assumptions!$B$19,X5*Assumptions!$B$17*Assumptions!$B$18/100000,0)</f>
        <v>0.816525160417086</v>
      </c>
      <c r="Y9" s="8" t="n">
        <f aca="false">IF(Y$3&gt;=Assumptions!$B$19,Y5*Assumptions!$B$17*Assumptions!$B$18/100000,0)</f>
        <v>0.914508179667137</v>
      </c>
    </row>
    <row r="10" customFormat="false" ht="15" hidden="false" customHeight="false" outlineLevel="0" collapsed="false">
      <c r="A10" s="6" t="s">
        <v>21</v>
      </c>
      <c r="B10" s="8" t="n">
        <f aca="false">IF(B$3&gt;=Assumptions!$B$22,B5*Assumptions!$B$20*Assumptions!$B$21/100000,0)</f>
        <v>0</v>
      </c>
      <c r="C10" s="8" t="n">
        <f aca="false">IF(C$3&gt;=Assumptions!$B$22,C5*Assumptions!$B$20*Assumptions!$B$21/100000,0)</f>
        <v>0</v>
      </c>
      <c r="D10" s="8" t="n">
        <f aca="false">IF(D$3&gt;=Assumptions!$B$22,D5*Assumptions!$B$20*Assumptions!$B$21/100000,0)</f>
        <v>0</v>
      </c>
      <c r="E10" s="8" t="n">
        <f aca="false">IF(E$3&gt;=Assumptions!$B$22,E5*Assumptions!$B$20*Assumptions!$B$21/100000,0)</f>
        <v>0</v>
      </c>
      <c r="F10" s="8" t="n">
        <f aca="false">IF(F$3&gt;=Assumptions!$B$22,F5*Assumptions!$B$20*Assumptions!$B$21/100000,0)</f>
        <v>0</v>
      </c>
      <c r="G10" s="8" t="n">
        <f aca="false">IF(G$3&gt;=Assumptions!$B$22,G5*Assumptions!$B$20*Assumptions!$B$21/100000,0)</f>
        <v>0.15280806005</v>
      </c>
      <c r="H10" s="8" t="n">
        <f aca="false">IF(H$3&gt;=Assumptions!$B$22,H5*Assumptions!$B$20*Assumptions!$B$21/100000,0)</f>
        <v>0.1910100750625</v>
      </c>
      <c r="I10" s="8" t="n">
        <f aca="false">IF(I$3&gt;=Assumptions!$B$22,I5*Assumptions!$B$20*Assumptions!$B$21/100000,0)</f>
        <v>0.238762593828125</v>
      </c>
      <c r="J10" s="8" t="n">
        <f aca="false">IF(J$3&gt;=Assumptions!$B$22,J5*Assumptions!$B$20*Assumptions!$B$21/100000,0)</f>
        <v>0.298453242285156</v>
      </c>
      <c r="K10" s="8" t="n">
        <f aca="false">IF(K$3&gt;=Assumptions!$B$22,K5*Assumptions!$B$20*Assumptions!$B$21/100000,0)</f>
        <v>0.373066552856445</v>
      </c>
      <c r="L10" s="8" t="n">
        <f aca="false">IF(L$3&gt;=Assumptions!$B$22,L5*Assumptions!$B$20*Assumptions!$B$21/100000,0)</f>
        <v>0.466333191070557</v>
      </c>
      <c r="M10" s="8" t="n">
        <f aca="false">IF(M$3&gt;=Assumptions!$B$22,M5*Assumptions!$B$20*Assumptions!$B$21/100000,0)</f>
        <v>0.582916488838196</v>
      </c>
      <c r="N10" s="8" t="n">
        <f aca="false">IF(N$3&gt;=Assumptions!$B$22,N5*Assumptions!$B$20*Assumptions!$B$21/100000,0)</f>
        <v>0.652866467498779</v>
      </c>
      <c r="O10" s="8" t="n">
        <f aca="false">IF(O$3&gt;=Assumptions!$B$22,O5*Assumptions!$B$20*Assumptions!$B$21/100000,0)</f>
        <v>0.731210443598633</v>
      </c>
      <c r="P10" s="8" t="n">
        <f aca="false">IF(P$3&gt;=Assumptions!$B$22,P5*Assumptions!$B$20*Assumptions!$B$21/100000,0)</f>
        <v>0.818955696830469</v>
      </c>
      <c r="Q10" s="8" t="n">
        <f aca="false">IF(Q$3&gt;=Assumptions!$B$22,Q5*Assumptions!$B$20*Assumptions!$B$21/100000,0)</f>
        <v>0.917230380450125</v>
      </c>
      <c r="R10" s="8" t="n">
        <f aca="false">IF(R$3&gt;=Assumptions!$B$22,R5*Assumptions!$B$20*Assumptions!$B$21/100000,0)</f>
        <v>1.02729802610414</v>
      </c>
      <c r="S10" s="8" t="n">
        <f aca="false">IF(S$3&gt;=Assumptions!$B$22,S5*Assumptions!$B$20*Assumptions!$B$21/100000,0)</f>
        <v>1.15057378923664</v>
      </c>
      <c r="T10" s="8" t="n">
        <f aca="false">IF(T$3&gt;=Assumptions!$B$22,T5*Assumptions!$B$20*Assumptions!$B$21/100000,0)</f>
        <v>1.28864264394503</v>
      </c>
      <c r="U10" s="8" t="n">
        <f aca="false">IF(U$3&gt;=Assumptions!$B$22,U5*Assumptions!$B$20*Assumptions!$B$21/100000,0)</f>
        <v>1.44327976121844</v>
      </c>
      <c r="V10" s="8" t="n">
        <f aca="false">IF(V$3&gt;=Assumptions!$B$22,V5*Assumptions!$B$20*Assumptions!$B$21/100000,0)</f>
        <v>1.61647333256465</v>
      </c>
      <c r="W10" s="8" t="n">
        <f aca="false">IF(W$3&gt;=Assumptions!$B$22,W5*Assumptions!$B$20*Assumptions!$B$21/100000,0)</f>
        <v>1.81045013247241</v>
      </c>
      <c r="X10" s="8" t="n">
        <f aca="false">IF(X$3&gt;=Assumptions!$B$22,X5*Assumptions!$B$20*Assumptions!$B$21/100000,0)</f>
        <v>2.0277041483691</v>
      </c>
      <c r="Y10" s="8" t="n">
        <f aca="false">IF(Y$3&gt;=Assumptions!$B$22,Y5*Assumptions!$B$20*Assumptions!$B$21/100000,0)</f>
        <v>2.27102864617339</v>
      </c>
    </row>
    <row r="11" customFormat="false" ht="15" hidden="false" customHeight="false" outlineLevel="0" collapsed="false">
      <c r="A11" s="6" t="s">
        <v>22</v>
      </c>
      <c r="B11" s="8" t="n">
        <f aca="false">IF(B$3&gt;=Assumptions!$B$24,Assumptions!$B$23*(1+Assumptions!$B$25)^(B$3-Assumptions!$B$24),0)</f>
        <v>0</v>
      </c>
      <c r="C11" s="8" t="n">
        <f aca="false">IF(C$3&gt;=Assumptions!$B$24,Assumptions!$B$23*(1+Assumptions!$B$25)^(C$3-Assumptions!$B$24),0)</f>
        <v>0</v>
      </c>
      <c r="D11" s="8" t="n">
        <f aca="false">IF(D$3&gt;=Assumptions!$B$24,Assumptions!$B$23*(1+Assumptions!$B$25)^(D$3-Assumptions!$B$24),0)</f>
        <v>0</v>
      </c>
      <c r="E11" s="8" t="n">
        <f aca="false">IF(E$3&gt;=Assumptions!$B$24,Assumptions!$B$23*(1+Assumptions!$B$25)^(E$3-Assumptions!$B$24),0)</f>
        <v>0.5</v>
      </c>
      <c r="F11" s="8" t="n">
        <f aca="false">IF(F$3&gt;=Assumptions!$B$24,Assumptions!$B$23*(1+Assumptions!$B$25)^(F$3-Assumptions!$B$24),0)</f>
        <v>0.55</v>
      </c>
      <c r="G11" s="8" t="n">
        <f aca="false">IF(G$3&gt;=Assumptions!$B$24,Assumptions!$B$23*(1+Assumptions!$B$25)^(G$3-Assumptions!$B$24),0)</f>
        <v>0.605</v>
      </c>
      <c r="H11" s="8" t="n">
        <f aca="false">IF(H$3&gt;=Assumptions!$B$24,Assumptions!$B$23*(1+Assumptions!$B$25)^(H$3-Assumptions!$B$24),0)</f>
        <v>0.6655</v>
      </c>
      <c r="I11" s="8" t="n">
        <f aca="false">IF(I$3&gt;=Assumptions!$B$24,Assumptions!$B$23*(1+Assumptions!$B$25)^(I$3-Assumptions!$B$24),0)</f>
        <v>0.73205</v>
      </c>
      <c r="J11" s="8" t="n">
        <f aca="false">IF(J$3&gt;=Assumptions!$B$24,Assumptions!$B$23*(1+Assumptions!$B$25)^(J$3-Assumptions!$B$24),0)</f>
        <v>0.805255</v>
      </c>
      <c r="K11" s="8" t="n">
        <f aca="false">IF(K$3&gt;=Assumptions!$B$24,Assumptions!$B$23*(1+Assumptions!$B$25)^(K$3-Assumptions!$B$24),0)</f>
        <v>0.8857805</v>
      </c>
      <c r="L11" s="8" t="n">
        <f aca="false">IF(L$3&gt;=Assumptions!$B$24,Assumptions!$B$23*(1+Assumptions!$B$25)^(L$3-Assumptions!$B$24),0)</f>
        <v>0.974358550000001</v>
      </c>
      <c r="M11" s="8" t="n">
        <f aca="false">IF(M$3&gt;=Assumptions!$B$24,Assumptions!$B$23*(1+Assumptions!$B$25)^(M$3-Assumptions!$B$24),0)</f>
        <v>1.071794405</v>
      </c>
      <c r="N11" s="8" t="n">
        <f aca="false">IF(N$3&gt;=Assumptions!$B$24,Assumptions!$B$23*(1+Assumptions!$B$25)^(N$3-Assumptions!$B$24),0)</f>
        <v>1.1789738455</v>
      </c>
      <c r="O11" s="8" t="n">
        <f aca="false">IF(O$3&gt;=Assumptions!$B$24,Assumptions!$B$23*(1+Assumptions!$B$25)^(O$3-Assumptions!$B$24),0)</f>
        <v>1.29687123005</v>
      </c>
      <c r="P11" s="8" t="n">
        <f aca="false">IF(P$3&gt;=Assumptions!$B$24,Assumptions!$B$23*(1+Assumptions!$B$25)^(P$3-Assumptions!$B$24),0)</f>
        <v>1.426558353055</v>
      </c>
      <c r="Q11" s="8" t="n">
        <f aca="false">IF(Q$3&gt;=Assumptions!$B$24,Assumptions!$B$23*(1+Assumptions!$B$25)^(Q$3-Assumptions!$B$24),0)</f>
        <v>1.5692141883605</v>
      </c>
      <c r="R11" s="8" t="n">
        <f aca="false">IF(R$3&gt;=Assumptions!$B$24,Assumptions!$B$23*(1+Assumptions!$B$25)^(R$3-Assumptions!$B$24),0)</f>
        <v>1.72613560719655</v>
      </c>
      <c r="S11" s="8" t="n">
        <f aca="false">IF(S$3&gt;=Assumptions!$B$24,Assumptions!$B$23*(1+Assumptions!$B$25)^(S$3-Assumptions!$B$24),0)</f>
        <v>1.89874916791621</v>
      </c>
      <c r="T11" s="8" t="n">
        <f aca="false">IF(T$3&gt;=Assumptions!$B$24,Assumptions!$B$23*(1+Assumptions!$B$25)^(T$3-Assumptions!$B$24),0)</f>
        <v>2.08862408470783</v>
      </c>
      <c r="U11" s="8" t="n">
        <f aca="false">IF(U$3&gt;=Assumptions!$B$24,Assumptions!$B$23*(1+Assumptions!$B$25)^(U$3-Assumptions!$B$24),0)</f>
        <v>2.29748649317861</v>
      </c>
      <c r="V11" s="8" t="n">
        <f aca="false">IF(V$3&gt;=Assumptions!$B$24,Assumptions!$B$23*(1+Assumptions!$B$25)^(V$3-Assumptions!$B$24),0)</f>
        <v>2.52723514249647</v>
      </c>
      <c r="W11" s="8" t="n">
        <f aca="false">IF(W$3&gt;=Assumptions!$B$24,Assumptions!$B$23*(1+Assumptions!$B$25)^(W$3-Assumptions!$B$24),0)</f>
        <v>2.77995865674612</v>
      </c>
      <c r="X11" s="8" t="n">
        <f aca="false">IF(X$3&gt;=Assumptions!$B$24,Assumptions!$B$23*(1+Assumptions!$B$25)^(X$3-Assumptions!$B$24),0)</f>
        <v>3.05795452242073</v>
      </c>
      <c r="Y11" s="8" t="n">
        <f aca="false">IF(Y$3&gt;=Assumptions!$B$24,Assumptions!$B$23*(1+Assumptions!$B$25)^(Y$3-Assumptions!$B$24),0)</f>
        <v>3.36374997466281</v>
      </c>
    </row>
    <row r="12" customFormat="false" ht="15" hidden="false" customHeight="false" outlineLevel="0" collapsed="false">
      <c r="A12" s="6" t="s">
        <v>100</v>
      </c>
      <c r="B12" s="8" t="n">
        <f aca="false">-(B9+B10)*Assumptions!$B$26</f>
        <v>-0</v>
      </c>
      <c r="C12" s="8" t="n">
        <f aca="false">-(C9+C10)*Assumptions!$B$26</f>
        <v>-0</v>
      </c>
      <c r="D12" s="8" t="n">
        <f aca="false">-(D9+D10)*Assumptions!$B$26</f>
        <v>-0.0020184</v>
      </c>
      <c r="E12" s="8" t="n">
        <f aca="false">-(E9+E10)*Assumptions!$B$26</f>
        <v>-0.00292668</v>
      </c>
      <c r="F12" s="8" t="n">
        <f aca="false">-(F9+F10)*Assumptions!$B$26</f>
        <v>-0.004243686</v>
      </c>
      <c r="G12" s="8" t="n">
        <f aca="false">-(G9+G10)*Assumptions!$B$26</f>
        <v>-0.021434150705</v>
      </c>
      <c r="H12" s="8" t="n">
        <f aca="false">-(H9+H10)*Assumptions!$B$26</f>
        <v>-0.02679268838125</v>
      </c>
      <c r="I12" s="8" t="n">
        <f aca="false">-(I9+I10)*Assumptions!$B$26</f>
        <v>-0.0334908604765625</v>
      </c>
      <c r="J12" s="8" t="n">
        <f aca="false">-(J9+J10)*Assumptions!$B$26</f>
        <v>-0.0418635755957031</v>
      </c>
      <c r="K12" s="8" t="n">
        <f aca="false">-(K9+K10)*Assumptions!$B$26</f>
        <v>-0.0523294694946289</v>
      </c>
      <c r="L12" s="8" t="n">
        <f aca="false">-(L9+L10)*Assumptions!$B$26</f>
        <v>-0.0654118368682861</v>
      </c>
      <c r="M12" s="8" t="n">
        <f aca="false">-(M9+M10)*Assumptions!$B$26</f>
        <v>-0.0817647960853577</v>
      </c>
      <c r="N12" s="8" t="n">
        <f aca="false">-(N9+N10)*Assumptions!$B$26</f>
        <v>-0.0915765716156006</v>
      </c>
      <c r="O12" s="8" t="n">
        <f aca="false">-(O9+O10)*Assumptions!$B$26</f>
        <v>-0.102565760209473</v>
      </c>
      <c r="P12" s="8" t="n">
        <f aca="false">-(P9+P10)*Assumptions!$B$26</f>
        <v>-0.114873651434609</v>
      </c>
      <c r="Q12" s="8" t="n">
        <f aca="false">-(Q9+Q10)*Assumptions!$B$26</f>
        <v>-0.128658489606763</v>
      </c>
      <c r="R12" s="8" t="n">
        <f aca="false">-(R9+R10)*Assumptions!$B$26</f>
        <v>-0.144097508359574</v>
      </c>
      <c r="S12" s="8" t="n">
        <f aca="false">-(S9+S10)*Assumptions!$B$26</f>
        <v>-0.161389209362723</v>
      </c>
      <c r="T12" s="8" t="n">
        <f aca="false">-(T9+T10)*Assumptions!$B$26</f>
        <v>-0.18075591448625</v>
      </c>
      <c r="U12" s="8" t="n">
        <f aca="false">-(U9+U10)*Assumptions!$B$26</f>
        <v>-0.2024466242246</v>
      </c>
      <c r="V12" s="8" t="n">
        <f aca="false">-(V9+V10)*Assumptions!$B$26</f>
        <v>-0.226740219131552</v>
      </c>
      <c r="W12" s="8" t="n">
        <f aca="false">-(W9+W10)*Assumptions!$B$26</f>
        <v>-0.253949045427338</v>
      </c>
      <c r="X12" s="8" t="n">
        <f aca="false">-(X9+X10)*Assumptions!$B$26</f>
        <v>-0.284422930878619</v>
      </c>
      <c r="Y12" s="8" t="n">
        <f aca="false">-(Y9+Y10)*Assumptions!$B$26</f>
        <v>-0.318553682584053</v>
      </c>
    </row>
    <row r="13" customFormat="false" ht="15" hidden="false" customHeight="false" outlineLevel="0" collapsed="false">
      <c r="A13" s="14" t="s">
        <v>101</v>
      </c>
      <c r="B13" s="15" t="n">
        <f aca="false">SUM(B8:B12)</f>
        <v>0</v>
      </c>
      <c r="C13" s="15" t="n">
        <f aca="false">SUM(C8:C12)</f>
        <v>0</v>
      </c>
      <c r="D13" s="15" t="n">
        <f aca="false">SUM(D8:D12)</f>
        <v>0.0181656</v>
      </c>
      <c r="E13" s="15" t="n">
        <f aca="false">SUM(E8:E12)</f>
        <v>0.59950712</v>
      </c>
      <c r="F13" s="15" t="n">
        <f aca="false">SUM(F8:F12)</f>
        <v>0.694285324</v>
      </c>
      <c r="G13" s="15" t="n">
        <f aca="false">SUM(G8:G12)</f>
        <v>0.951740973845</v>
      </c>
      <c r="H13" s="15" t="n">
        <f aca="false">SUM(H8:H12)</f>
        <v>1.09892621730625</v>
      </c>
      <c r="I13" s="15" t="n">
        <f aca="false">SUM(I8:I12)</f>
        <v>1.27383277163281</v>
      </c>
      <c r="J13" s="15" t="n">
        <f aca="false">SUM(J8:J12)</f>
        <v>1.48248346454102</v>
      </c>
      <c r="K13" s="15" t="n">
        <f aca="false">SUM(K8:K12)</f>
        <v>1.73231608067627</v>
      </c>
      <c r="L13" s="15" t="n">
        <f aca="false">SUM(L8:L12)</f>
        <v>2.03252802584534</v>
      </c>
      <c r="M13" s="15" t="n">
        <f aca="false">SUM(M8:M12)</f>
        <v>2.39450624980667</v>
      </c>
      <c r="N13" s="15" t="n">
        <f aca="false">SUM(N8:N12)</f>
        <v>2.66041111168347</v>
      </c>
      <c r="O13" s="15" t="n">
        <f aca="false">SUM(O8:O12)</f>
        <v>2.95608096817549</v>
      </c>
      <c r="P13" s="15" t="n">
        <f aca="false">SUM(P8:P12)</f>
        <v>3.28487325975555</v>
      </c>
      <c r="Q13" s="15" t="n">
        <f aca="false">SUM(Q8:Q12)</f>
        <v>3.65052688386512</v>
      </c>
      <c r="R13" s="15" t="n">
        <f aca="false">SUM(R8:R12)</f>
        <v>4.05720582616172</v>
      </c>
      <c r="S13" s="15" t="n">
        <f aca="false">SUM(S8:S12)</f>
        <v>4.50954781315719</v>
      </c>
      <c r="T13" s="15" t="n">
        <f aca="false">SUM(T8:T12)</f>
        <v>5.01271856737773</v>
      </c>
      <c r="U13" s="15" t="n">
        <f aca="false">SUM(U8:U12)</f>
        <v>5.57247231376891</v>
      </c>
      <c r="V13" s="15" t="n">
        <f aca="false">SUM(V8:V12)</f>
        <v>6.1952192615576</v>
      </c>
      <c r="W13" s="15" t="n">
        <f aca="false">SUM(W8:W12)</f>
        <v>6.88810087009459</v>
      </c>
      <c r="X13" s="15" t="n">
        <f aca="false">SUM(X8:X12)</f>
        <v>7.65907380137101</v>
      </c>
      <c r="Y13" s="15" t="n">
        <f aca="false">SUM(Y8:Y12)</f>
        <v>8.51700356708712</v>
      </c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customFormat="false" ht="15" hidden="false" customHeight="false" outlineLevel="0" collapsed="false">
      <c r="A15" s="4" t="s">
        <v>75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customFormat="false" ht="15" hidden="false" customHeight="false" outlineLevel="0" collapsed="false">
      <c r="A16" s="6" t="s">
        <v>102</v>
      </c>
      <c r="B16" s="8" t="n">
        <f aca="false">Assumptions!$B$28+Assumptions!$B$29+Assumptions!$B$31+IF(B$3&gt;=2,Assumptions!$B$30,0)+IF(B$3&gt;=6,Assumptions!$B$32,0)</f>
        <v>4</v>
      </c>
      <c r="C16" s="8" t="n">
        <f aca="false">Assumptions!$B$28+Assumptions!$B$29+Assumptions!$B$31+IF(C$3&gt;=2,Assumptions!$B$30,0)+IF(C$3&gt;=6,Assumptions!$B$32,0)</f>
        <v>4.7</v>
      </c>
      <c r="D16" s="8" t="n">
        <f aca="false">Assumptions!$B$28+Assumptions!$B$29+Assumptions!$B$31+IF(D$3&gt;=2,Assumptions!$B$30,0)+IF(D$3&gt;=6,Assumptions!$B$32,0)</f>
        <v>4.7</v>
      </c>
      <c r="E16" s="8" t="n">
        <f aca="false">Assumptions!$B$28+Assumptions!$B$29+Assumptions!$B$31+IF(E$3&gt;=2,Assumptions!$B$30,0)+IF(E$3&gt;=6,Assumptions!$B$32,0)</f>
        <v>4.7</v>
      </c>
      <c r="F16" s="8" t="n">
        <f aca="false">Assumptions!$B$28+Assumptions!$B$29+Assumptions!$B$31+IF(F$3&gt;=2,Assumptions!$B$30,0)+IF(F$3&gt;=6,Assumptions!$B$32,0)</f>
        <v>4.7</v>
      </c>
      <c r="G16" s="8" t="n">
        <f aca="false">Assumptions!$B$28+Assumptions!$B$29+Assumptions!$B$31+IF(G$3&gt;=2,Assumptions!$B$30,0)+IF(G$3&gt;=6,Assumptions!$B$32,0)</f>
        <v>5.6</v>
      </c>
      <c r="H16" s="8" t="n">
        <f aca="false">Assumptions!$B$28+Assumptions!$B$29+Assumptions!$B$31+IF(H$3&gt;=2,Assumptions!$B$30,0)+IF(H$3&gt;=6,Assumptions!$B$32,0)</f>
        <v>5.6</v>
      </c>
      <c r="I16" s="8" t="n">
        <f aca="false">Assumptions!$B$28+Assumptions!$B$29+Assumptions!$B$31+IF(I$3&gt;=2,Assumptions!$B$30,0)+IF(I$3&gt;=6,Assumptions!$B$32,0)</f>
        <v>5.6</v>
      </c>
      <c r="J16" s="8" t="n">
        <f aca="false">Assumptions!$B$28+Assumptions!$B$29+Assumptions!$B$31+IF(J$3&gt;=2,Assumptions!$B$30,0)+IF(J$3&gt;=6,Assumptions!$B$32,0)</f>
        <v>5.6</v>
      </c>
      <c r="K16" s="8" t="n">
        <f aca="false">Assumptions!$B$28+Assumptions!$B$29+Assumptions!$B$31+IF(K$3&gt;=2,Assumptions!$B$30,0)+IF(K$3&gt;=6,Assumptions!$B$32,0)</f>
        <v>5.6</v>
      </c>
      <c r="L16" s="8" t="n">
        <f aca="false">Assumptions!$B$28+Assumptions!$B$29+Assumptions!$B$31+IF(L$3&gt;=2,Assumptions!$B$30,0)+IF(L$3&gt;=6,Assumptions!$B$32,0)</f>
        <v>5.6</v>
      </c>
      <c r="M16" s="8" t="n">
        <f aca="false">Assumptions!$B$28+Assumptions!$B$29+Assumptions!$B$31+IF(M$3&gt;=2,Assumptions!$B$30,0)+IF(M$3&gt;=6,Assumptions!$B$32,0)</f>
        <v>5.6</v>
      </c>
      <c r="N16" s="8" t="n">
        <f aca="false">Assumptions!$B$28+Assumptions!$B$29+Assumptions!$B$31+IF(N$3&gt;=2,Assumptions!$B$30,0)+IF(N$3&gt;=6,Assumptions!$B$32,0)</f>
        <v>5.6</v>
      </c>
      <c r="O16" s="8" t="n">
        <f aca="false">Assumptions!$B$28+Assumptions!$B$29+Assumptions!$B$31+IF(O$3&gt;=2,Assumptions!$B$30,0)+IF(O$3&gt;=6,Assumptions!$B$32,0)</f>
        <v>5.6</v>
      </c>
      <c r="P16" s="8" t="n">
        <f aca="false">Assumptions!$B$28+Assumptions!$B$29+Assumptions!$B$31+IF(P$3&gt;=2,Assumptions!$B$30,0)+IF(P$3&gt;=6,Assumptions!$B$32,0)</f>
        <v>5.6</v>
      </c>
      <c r="Q16" s="8" t="n">
        <f aca="false">Assumptions!$B$28+Assumptions!$B$29+Assumptions!$B$31+IF(Q$3&gt;=2,Assumptions!$B$30,0)+IF(Q$3&gt;=6,Assumptions!$B$32,0)</f>
        <v>5.6</v>
      </c>
      <c r="R16" s="8" t="n">
        <f aca="false">Assumptions!$B$28+Assumptions!$B$29+Assumptions!$B$31+IF(R$3&gt;=2,Assumptions!$B$30,0)+IF(R$3&gt;=6,Assumptions!$B$32,0)</f>
        <v>5.6</v>
      </c>
      <c r="S16" s="8" t="n">
        <f aca="false">Assumptions!$B$28+Assumptions!$B$29+Assumptions!$B$31+IF(S$3&gt;=2,Assumptions!$B$30,0)+IF(S$3&gt;=6,Assumptions!$B$32,0)</f>
        <v>5.6</v>
      </c>
      <c r="T16" s="8" t="n">
        <f aca="false">Assumptions!$B$28+Assumptions!$B$29+Assumptions!$B$31+IF(T$3&gt;=2,Assumptions!$B$30,0)+IF(T$3&gt;=6,Assumptions!$B$32,0)</f>
        <v>5.6</v>
      </c>
      <c r="U16" s="8" t="n">
        <f aca="false">Assumptions!$B$28+Assumptions!$B$29+Assumptions!$B$31+IF(U$3&gt;=2,Assumptions!$B$30,0)+IF(U$3&gt;=6,Assumptions!$B$32,0)</f>
        <v>5.6</v>
      </c>
      <c r="V16" s="8" t="n">
        <f aca="false">Assumptions!$B$28+Assumptions!$B$29+Assumptions!$B$31+IF(V$3&gt;=2,Assumptions!$B$30,0)+IF(V$3&gt;=6,Assumptions!$B$32,0)</f>
        <v>5.6</v>
      </c>
      <c r="W16" s="8" t="n">
        <f aca="false">Assumptions!$B$28+Assumptions!$B$29+Assumptions!$B$31+IF(W$3&gt;=2,Assumptions!$B$30,0)+IF(W$3&gt;=6,Assumptions!$B$32,0)</f>
        <v>5.6</v>
      </c>
      <c r="X16" s="8" t="n">
        <f aca="false">Assumptions!$B$28+Assumptions!$B$29+Assumptions!$B$31+IF(X$3&gt;=2,Assumptions!$B$30,0)+IF(X$3&gt;=6,Assumptions!$B$32,0)</f>
        <v>5.6</v>
      </c>
      <c r="Y16" s="8" t="n">
        <f aca="false">Assumptions!$B$28+Assumptions!$B$29+Assumptions!$B$31+IF(Y$3&gt;=2,Assumptions!$B$30,0)+IF(Y$3&gt;=6,Assumptions!$B$32,0)</f>
        <v>5.6</v>
      </c>
    </row>
    <row r="17" customFormat="false" ht="15" hidden="false" customHeight="false" outlineLevel="0" collapsed="false">
      <c r="A17" s="6" t="s">
        <v>28</v>
      </c>
      <c r="B17" s="8" t="n">
        <f aca="false">Assumptions!$B$33+B5*Assumptions!$B$34/100000</f>
        <v>0.33</v>
      </c>
      <c r="C17" s="8" t="n">
        <f aca="false">Assumptions!$B$33+C5*Assumptions!$B$34/100000</f>
        <v>0.3435</v>
      </c>
      <c r="D17" s="8" t="n">
        <f aca="false">Assumptions!$B$33+D5*Assumptions!$B$34/100000</f>
        <v>0.363075</v>
      </c>
      <c r="E17" s="8" t="n">
        <f aca="false">Assumptions!$B$33+E5*Assumptions!$B$34/100000</f>
        <v>0.39145875</v>
      </c>
      <c r="F17" s="8" t="n">
        <f aca="false">Assumptions!$B$33+F5*Assumptions!$B$34/100000</f>
        <v>0.4326151875</v>
      </c>
      <c r="G17" s="8" t="n">
        <f aca="false">Assumptions!$B$33+G5*Assumptions!$B$34/100000</f>
        <v>0.492292021875</v>
      </c>
      <c r="H17" s="8" t="n">
        <f aca="false">Assumptions!$B$33+H5*Assumptions!$B$34/100000</f>
        <v>0.54036502734375</v>
      </c>
      <c r="I17" s="8" t="n">
        <f aca="false">Assumptions!$B$33+I5*Assumptions!$B$34/100000</f>
        <v>0.600456284179687</v>
      </c>
      <c r="J17" s="8" t="n">
        <f aca="false">Assumptions!$B$33+J5*Assumptions!$B$34/100000</f>
        <v>0.675570355224609</v>
      </c>
      <c r="K17" s="8" t="n">
        <f aca="false">Assumptions!$B$33+K5*Assumptions!$B$34/100000</f>
        <v>0.769462944030762</v>
      </c>
      <c r="L17" s="8" t="n">
        <f aca="false">Assumptions!$B$33+L5*Assumptions!$B$34/100000</f>
        <v>0.886828680038452</v>
      </c>
      <c r="M17" s="8" t="n">
        <f aca="false">Assumptions!$B$33+M5*Assumptions!$B$34/100000</f>
        <v>1.03353585004807</v>
      </c>
      <c r="N17" s="8" t="n">
        <f aca="false">Assumptions!$B$33+N5*Assumptions!$B$34/100000</f>
        <v>1.12156015205383</v>
      </c>
      <c r="O17" s="8" t="n">
        <f aca="false">Assumptions!$B$33+O5*Assumptions!$B$34/100000</f>
        <v>1.22014737030029</v>
      </c>
      <c r="P17" s="8" t="n">
        <f aca="false">Assumptions!$B$33+P5*Assumptions!$B$34/100000</f>
        <v>1.33056505473633</v>
      </c>
      <c r="Q17" s="8" t="n">
        <f aca="false">Assumptions!$B$33+Q5*Assumptions!$B$34/100000</f>
        <v>1.45423286130469</v>
      </c>
      <c r="R17" s="8" t="n">
        <f aca="false">Assumptions!$B$33+R5*Assumptions!$B$34/100000</f>
        <v>1.59274080466125</v>
      </c>
      <c r="S17" s="8" t="n">
        <f aca="false">Assumptions!$B$33+S5*Assumptions!$B$34/100000</f>
        <v>1.7478697012206</v>
      </c>
      <c r="T17" s="8" t="n">
        <f aca="false">Assumptions!$B$33+T5*Assumptions!$B$34/100000</f>
        <v>1.92161406536707</v>
      </c>
      <c r="U17" s="8" t="n">
        <f aca="false">Assumptions!$B$33+U5*Assumptions!$B$34/100000</f>
        <v>2.11620775321112</v>
      </c>
      <c r="V17" s="8" t="n">
        <f aca="false">Assumptions!$B$33+V5*Assumptions!$B$34/100000</f>
        <v>2.33415268359646</v>
      </c>
      <c r="W17" s="8" t="n">
        <f aca="false">Assumptions!$B$33+W5*Assumptions!$B$34/100000</f>
        <v>2.57825100562803</v>
      </c>
      <c r="X17" s="8" t="n">
        <f aca="false">Assumptions!$B$33+X5*Assumptions!$B$34/100000</f>
        <v>2.8516411263034</v>
      </c>
      <c r="Y17" s="8" t="n">
        <f aca="false">Assumptions!$B$33+Y5*Assumptions!$B$34/100000</f>
        <v>3.1578380614598</v>
      </c>
    </row>
    <row r="18" customFormat="false" ht="15" hidden="false" customHeight="false" outlineLevel="0" collapsed="false">
      <c r="A18" s="6" t="s">
        <v>29</v>
      </c>
      <c r="B18" s="8" t="n">
        <f aca="false">Assumptions!$B$35</f>
        <v>1.5</v>
      </c>
      <c r="C18" s="8" t="n">
        <f aca="false">Assumptions!$B$35</f>
        <v>1.5</v>
      </c>
      <c r="D18" s="8" t="n">
        <f aca="false">Assumptions!$B$35</f>
        <v>1.5</v>
      </c>
      <c r="E18" s="8" t="n">
        <f aca="false">Assumptions!$B$35</f>
        <v>1.5</v>
      </c>
      <c r="F18" s="8" t="n">
        <f aca="false">Assumptions!$B$35</f>
        <v>1.5</v>
      </c>
      <c r="G18" s="8" t="n">
        <f aca="false">Assumptions!$B$35</f>
        <v>1.5</v>
      </c>
      <c r="H18" s="8" t="n">
        <f aca="false">Assumptions!$B$35</f>
        <v>1.5</v>
      </c>
      <c r="I18" s="8" t="n">
        <f aca="false">Assumptions!$B$35</f>
        <v>1.5</v>
      </c>
      <c r="J18" s="8" t="n">
        <f aca="false">Assumptions!$B$35</f>
        <v>1.5</v>
      </c>
      <c r="K18" s="8" t="n">
        <f aca="false">Assumptions!$B$35</f>
        <v>1.5</v>
      </c>
      <c r="L18" s="8" t="n">
        <f aca="false">Assumptions!$B$35</f>
        <v>1.5</v>
      </c>
      <c r="M18" s="8" t="n">
        <f aca="false">Assumptions!$B$35</f>
        <v>1.5</v>
      </c>
      <c r="N18" s="8" t="n">
        <f aca="false">Assumptions!$B$35</f>
        <v>1.5</v>
      </c>
      <c r="O18" s="8" t="n">
        <f aca="false">Assumptions!$B$35</f>
        <v>1.5</v>
      </c>
      <c r="P18" s="8" t="n">
        <f aca="false">Assumptions!$B$35</f>
        <v>1.5</v>
      </c>
      <c r="Q18" s="8" t="n">
        <f aca="false">Assumptions!$B$35</f>
        <v>1.5</v>
      </c>
      <c r="R18" s="8" t="n">
        <f aca="false">Assumptions!$B$35</f>
        <v>1.5</v>
      </c>
      <c r="S18" s="8" t="n">
        <f aca="false">Assumptions!$B$35</f>
        <v>1.5</v>
      </c>
      <c r="T18" s="8" t="n">
        <f aca="false">Assumptions!$B$35</f>
        <v>1.5</v>
      </c>
      <c r="U18" s="8" t="n">
        <f aca="false">Assumptions!$B$35</f>
        <v>1.5</v>
      </c>
      <c r="V18" s="8" t="n">
        <f aca="false">Assumptions!$B$35</f>
        <v>1.5</v>
      </c>
      <c r="W18" s="8" t="n">
        <f aca="false">Assumptions!$B$35</f>
        <v>1.5</v>
      </c>
      <c r="X18" s="8" t="n">
        <f aca="false">Assumptions!$B$35</f>
        <v>1.5</v>
      </c>
      <c r="Y18" s="8" t="n">
        <f aca="false">Assumptions!$B$35</f>
        <v>1.5</v>
      </c>
    </row>
    <row r="19" customFormat="false" ht="15" hidden="false" customHeight="false" outlineLevel="0" collapsed="false">
      <c r="A19" s="6" t="s">
        <v>30</v>
      </c>
      <c r="B19" s="8" t="n">
        <f aca="false">Assumptions!$B$36</f>
        <v>0.5</v>
      </c>
      <c r="C19" s="8" t="n">
        <f aca="false">Assumptions!$B$36</f>
        <v>0.5</v>
      </c>
      <c r="D19" s="8" t="n">
        <f aca="false">Assumptions!$B$36</f>
        <v>0.5</v>
      </c>
      <c r="E19" s="8" t="n">
        <f aca="false">Assumptions!$B$36</f>
        <v>0.5</v>
      </c>
      <c r="F19" s="8" t="n">
        <f aca="false">Assumptions!$B$36</f>
        <v>0.5</v>
      </c>
      <c r="G19" s="8" t="n">
        <f aca="false">Assumptions!$B$36</f>
        <v>0.5</v>
      </c>
      <c r="H19" s="8" t="n">
        <f aca="false">Assumptions!$B$36</f>
        <v>0.5</v>
      </c>
      <c r="I19" s="8" t="n">
        <f aca="false">Assumptions!$B$36</f>
        <v>0.5</v>
      </c>
      <c r="J19" s="8" t="n">
        <f aca="false">Assumptions!$B$36</f>
        <v>0.5</v>
      </c>
      <c r="K19" s="8" t="n">
        <f aca="false">Assumptions!$B$36</f>
        <v>0.5</v>
      </c>
      <c r="L19" s="8" t="n">
        <f aca="false">Assumptions!$B$36</f>
        <v>0.5</v>
      </c>
      <c r="M19" s="8" t="n">
        <f aca="false">Assumptions!$B$36</f>
        <v>0.5</v>
      </c>
      <c r="N19" s="8" t="n">
        <f aca="false">Assumptions!$B$36</f>
        <v>0.5</v>
      </c>
      <c r="O19" s="8" t="n">
        <f aca="false">Assumptions!$B$36</f>
        <v>0.5</v>
      </c>
      <c r="P19" s="8" t="n">
        <f aca="false">Assumptions!$B$36</f>
        <v>0.5</v>
      </c>
      <c r="Q19" s="8" t="n">
        <f aca="false">Assumptions!$B$36</f>
        <v>0.5</v>
      </c>
      <c r="R19" s="8" t="n">
        <f aca="false">Assumptions!$B$36</f>
        <v>0.5</v>
      </c>
      <c r="S19" s="8" t="n">
        <f aca="false">Assumptions!$B$36</f>
        <v>0.5</v>
      </c>
      <c r="T19" s="8" t="n">
        <f aca="false">Assumptions!$B$36</f>
        <v>0.5</v>
      </c>
      <c r="U19" s="8" t="n">
        <f aca="false">Assumptions!$B$36</f>
        <v>0.5</v>
      </c>
      <c r="V19" s="8" t="n">
        <f aca="false">Assumptions!$B$36</f>
        <v>0.5</v>
      </c>
      <c r="W19" s="8" t="n">
        <f aca="false">Assumptions!$B$36</f>
        <v>0.5</v>
      </c>
      <c r="X19" s="8" t="n">
        <f aca="false">Assumptions!$B$36</f>
        <v>0.5</v>
      </c>
      <c r="Y19" s="8" t="n">
        <f aca="false">Assumptions!$B$36</f>
        <v>0.5</v>
      </c>
    </row>
    <row r="20" customFormat="false" ht="15" hidden="false" customHeight="false" outlineLevel="0" collapsed="false">
      <c r="A20" s="6" t="s">
        <v>31</v>
      </c>
      <c r="B20" s="8" t="n">
        <f aca="false">IF(B$3=1,Assumptions!$B$37,0)</f>
        <v>4.5</v>
      </c>
      <c r="C20" s="8" t="n">
        <f aca="false">IF(C$3=1,Assumptions!$B$37,0)</f>
        <v>0</v>
      </c>
      <c r="D20" s="8" t="n">
        <f aca="false">IF(D$3=1,Assumptions!$B$37,0)</f>
        <v>0</v>
      </c>
      <c r="E20" s="8" t="n">
        <f aca="false">IF(E$3=1,Assumptions!$B$37,0)</f>
        <v>0</v>
      </c>
      <c r="F20" s="8" t="n">
        <f aca="false">IF(F$3=1,Assumptions!$B$37,0)</f>
        <v>0</v>
      </c>
      <c r="G20" s="8" t="n">
        <f aca="false">IF(G$3=1,Assumptions!$B$37,0)</f>
        <v>0</v>
      </c>
      <c r="H20" s="8" t="n">
        <f aca="false">IF(H$3=1,Assumptions!$B$37,0)</f>
        <v>0</v>
      </c>
      <c r="I20" s="8" t="n">
        <f aca="false">IF(I$3=1,Assumptions!$B$37,0)</f>
        <v>0</v>
      </c>
      <c r="J20" s="8" t="n">
        <f aca="false">IF(J$3=1,Assumptions!$B$37,0)</f>
        <v>0</v>
      </c>
      <c r="K20" s="8" t="n">
        <f aca="false">IF(K$3=1,Assumptions!$B$37,0)</f>
        <v>0</v>
      </c>
      <c r="L20" s="8" t="n">
        <f aca="false">IF(L$3=1,Assumptions!$B$37,0)</f>
        <v>0</v>
      </c>
      <c r="M20" s="8" t="n">
        <f aca="false">IF(M$3=1,Assumptions!$B$37,0)</f>
        <v>0</v>
      </c>
      <c r="N20" s="8" t="n">
        <f aca="false">IF(N$3=1,Assumptions!$B$37,0)</f>
        <v>0</v>
      </c>
      <c r="O20" s="8" t="n">
        <f aca="false">IF(O$3=1,Assumptions!$B$37,0)</f>
        <v>0</v>
      </c>
      <c r="P20" s="8" t="n">
        <f aca="false">IF(P$3=1,Assumptions!$B$37,0)</f>
        <v>0</v>
      </c>
      <c r="Q20" s="8" t="n">
        <f aca="false">IF(Q$3=1,Assumptions!$B$37,0)</f>
        <v>0</v>
      </c>
      <c r="R20" s="8" t="n">
        <f aca="false">IF(R$3=1,Assumptions!$B$37,0)</f>
        <v>0</v>
      </c>
      <c r="S20" s="8" t="n">
        <f aca="false">IF(S$3=1,Assumptions!$B$37,0)</f>
        <v>0</v>
      </c>
      <c r="T20" s="8" t="n">
        <f aca="false">IF(T$3=1,Assumptions!$B$37,0)</f>
        <v>0</v>
      </c>
      <c r="U20" s="8" t="n">
        <f aca="false">IF(U$3=1,Assumptions!$B$37,0)</f>
        <v>0</v>
      </c>
      <c r="V20" s="8" t="n">
        <f aca="false">IF(V$3=1,Assumptions!$B$37,0)</f>
        <v>0</v>
      </c>
      <c r="W20" s="8" t="n">
        <f aca="false">IF(W$3=1,Assumptions!$B$37,0)</f>
        <v>0</v>
      </c>
      <c r="X20" s="8" t="n">
        <f aca="false">IF(X$3=1,Assumptions!$B$37,0)</f>
        <v>0</v>
      </c>
      <c r="Y20" s="8" t="n">
        <f aca="false">IF(Y$3=1,Assumptions!$B$37,0)</f>
        <v>0</v>
      </c>
    </row>
    <row r="21" customFormat="false" ht="15" hidden="false" customHeight="false" outlineLevel="0" collapsed="false">
      <c r="A21" s="14" t="s">
        <v>103</v>
      </c>
      <c r="B21" s="15" t="n">
        <f aca="false">SUM(B16:B20)</f>
        <v>10.83</v>
      </c>
      <c r="C21" s="15" t="n">
        <f aca="false">SUM(C16:C20)</f>
        <v>7.0435</v>
      </c>
      <c r="D21" s="15" t="n">
        <f aca="false">SUM(D16:D20)</f>
        <v>7.063075</v>
      </c>
      <c r="E21" s="15" t="n">
        <f aca="false">SUM(E16:E20)</f>
        <v>7.09145875</v>
      </c>
      <c r="F21" s="15" t="n">
        <f aca="false">SUM(F16:F20)</f>
        <v>7.1326151875</v>
      </c>
      <c r="G21" s="15" t="n">
        <f aca="false">SUM(G16:G20)</f>
        <v>8.092292021875</v>
      </c>
      <c r="H21" s="15" t="n">
        <f aca="false">SUM(H16:H20)</f>
        <v>8.14036502734375</v>
      </c>
      <c r="I21" s="15" t="n">
        <f aca="false">SUM(I16:I20)</f>
        <v>8.20045628417969</v>
      </c>
      <c r="J21" s="15" t="n">
        <f aca="false">SUM(J16:J20)</f>
        <v>8.27557035522461</v>
      </c>
      <c r="K21" s="15" t="n">
        <f aca="false">SUM(K16:K20)</f>
        <v>8.36946294403076</v>
      </c>
      <c r="L21" s="15" t="n">
        <f aca="false">SUM(L16:L20)</f>
        <v>8.48682868003845</v>
      </c>
      <c r="M21" s="15" t="n">
        <f aca="false">SUM(M16:M20)</f>
        <v>8.63353585004807</v>
      </c>
      <c r="N21" s="15" t="n">
        <f aca="false">SUM(N16:N20)</f>
        <v>8.72156015205383</v>
      </c>
      <c r="O21" s="15" t="n">
        <f aca="false">SUM(O16:O20)</f>
        <v>8.82014737030029</v>
      </c>
      <c r="P21" s="15" t="n">
        <f aca="false">SUM(P16:P20)</f>
        <v>8.93056505473633</v>
      </c>
      <c r="Q21" s="15" t="n">
        <f aca="false">SUM(Q16:Q20)</f>
        <v>9.05423286130469</v>
      </c>
      <c r="R21" s="15" t="n">
        <f aca="false">SUM(R16:R20)</f>
        <v>9.19274080466125</v>
      </c>
      <c r="S21" s="15" t="n">
        <f aca="false">SUM(S16:S20)</f>
        <v>9.3478697012206</v>
      </c>
      <c r="T21" s="15" t="n">
        <f aca="false">SUM(T16:T20)</f>
        <v>9.52161406536707</v>
      </c>
      <c r="U21" s="15" t="n">
        <f aca="false">SUM(U16:U20)</f>
        <v>9.71620775321112</v>
      </c>
      <c r="V21" s="15" t="n">
        <f aca="false">SUM(V16:V20)</f>
        <v>9.93415268359646</v>
      </c>
      <c r="W21" s="15" t="n">
        <f aca="false">SUM(W16:W20)</f>
        <v>10.178251005628</v>
      </c>
      <c r="X21" s="15" t="n">
        <f aca="false">SUM(X16:X20)</f>
        <v>10.4516411263034</v>
      </c>
      <c r="Y21" s="15" t="n">
        <f aca="false">SUM(Y16:Y20)</f>
        <v>10.7578380614598</v>
      </c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customFormat="false" ht="15" hidden="false" customHeight="false" outlineLevel="0" collapsed="false">
      <c r="A23" s="14" t="s">
        <v>104</v>
      </c>
      <c r="B23" s="15" t="n">
        <f aca="false">B21-B13</f>
        <v>10.83</v>
      </c>
      <c r="C23" s="15" t="n">
        <f aca="false">C21-C13</f>
        <v>7.0435</v>
      </c>
      <c r="D23" s="15" t="n">
        <f aca="false">D21-D13</f>
        <v>7.0449094</v>
      </c>
      <c r="E23" s="15" t="n">
        <f aca="false">E21-E13</f>
        <v>6.49195163</v>
      </c>
      <c r="F23" s="15" t="n">
        <f aca="false">F21-F13</f>
        <v>6.4383298635</v>
      </c>
      <c r="G23" s="15" t="n">
        <f aca="false">G21-G13</f>
        <v>7.14055104803</v>
      </c>
      <c r="H23" s="15" t="n">
        <f aca="false">H21-H13</f>
        <v>7.0414388100375</v>
      </c>
      <c r="I23" s="15" t="n">
        <f aca="false">I21-I13</f>
        <v>6.92662351254687</v>
      </c>
      <c r="J23" s="15" t="n">
        <f aca="false">J21-J13</f>
        <v>6.79308689068359</v>
      </c>
      <c r="K23" s="15" t="n">
        <f aca="false">K21-K13</f>
        <v>6.63714686335449</v>
      </c>
      <c r="L23" s="15" t="n">
        <f aca="false">L21-L13</f>
        <v>6.45430065419312</v>
      </c>
      <c r="M23" s="15" t="n">
        <f aca="false">M21-M13</f>
        <v>6.2390296002414</v>
      </c>
      <c r="N23" s="15" t="n">
        <f aca="false">N21-N13</f>
        <v>6.06114904037036</v>
      </c>
      <c r="O23" s="15" t="n">
        <f aca="false">O21-O13</f>
        <v>5.8640664021248</v>
      </c>
      <c r="P23" s="15" t="n">
        <f aca="false">P21-P13</f>
        <v>5.64569179498078</v>
      </c>
      <c r="Q23" s="15" t="n">
        <f aca="false">Q21-Q13</f>
        <v>5.40370597743957</v>
      </c>
      <c r="R23" s="15" t="n">
        <f aca="false">R21-R13</f>
        <v>5.13553497849953</v>
      </c>
      <c r="S23" s="15" t="n">
        <f aca="false">S21-S13</f>
        <v>4.83832188806341</v>
      </c>
      <c r="T23" s="15" t="n">
        <f aca="false">T21-T13</f>
        <v>4.50889549798934</v>
      </c>
      <c r="U23" s="15" t="n">
        <f aca="false">U21-U13</f>
        <v>4.14373543944222</v>
      </c>
      <c r="V23" s="15" t="n">
        <f aca="false">V21-V13</f>
        <v>3.73893342203886</v>
      </c>
      <c r="W23" s="15" t="n">
        <f aca="false">W21-W13</f>
        <v>3.29015013553345</v>
      </c>
      <c r="X23" s="15" t="n">
        <f aca="false">X21-X13</f>
        <v>2.79256732493238</v>
      </c>
      <c r="Y23" s="15" t="n">
        <f aca="false">Y21-Y13</f>
        <v>2.24083449437268</v>
      </c>
    </row>
    <row r="24" customFormat="false" ht="15" hidden="false" customHeight="false" outlineLevel="0" collapsed="false">
      <c r="A24" s="14" t="s">
        <v>105</v>
      </c>
      <c r="B24" s="15" t="n">
        <f aca="false">Assumptions!$B$5-B23</f>
        <v>139.17</v>
      </c>
      <c r="C24" s="15" t="n">
        <f aca="false">B24-C23</f>
        <v>132.1265</v>
      </c>
      <c r="D24" s="15" t="n">
        <f aca="false">C24-D23</f>
        <v>125.0815906</v>
      </c>
      <c r="E24" s="15" t="n">
        <f aca="false">D24-E23</f>
        <v>118.58963897</v>
      </c>
      <c r="F24" s="15" t="n">
        <f aca="false">E24-F23</f>
        <v>112.1513091065</v>
      </c>
      <c r="G24" s="15" t="n">
        <f aca="false">F24-G23</f>
        <v>105.01075805847</v>
      </c>
      <c r="H24" s="15" t="n">
        <f aca="false">G24-H23</f>
        <v>97.9693192484325</v>
      </c>
      <c r="I24" s="15" t="n">
        <f aca="false">H24-I23</f>
        <v>91.0426957358856</v>
      </c>
      <c r="J24" s="15" t="n">
        <f aca="false">I24-J23</f>
        <v>84.249608845202</v>
      </c>
      <c r="K24" s="15" t="n">
        <f aca="false">J24-K23</f>
        <v>77.6124619818475</v>
      </c>
      <c r="L24" s="15" t="n">
        <f aca="false">K24-L23</f>
        <v>71.1581613276544</v>
      </c>
      <c r="M24" s="15" t="n">
        <f aca="false">L24-M23</f>
        <v>64.919131727413</v>
      </c>
      <c r="N24" s="15" t="n">
        <f aca="false">M24-N23</f>
        <v>58.8579826870427</v>
      </c>
      <c r="O24" s="15" t="n">
        <f aca="false">N24-O23</f>
        <v>52.9939162849179</v>
      </c>
      <c r="P24" s="15" t="n">
        <f aca="false">O24-P23</f>
        <v>47.3482244899371</v>
      </c>
      <c r="Q24" s="15" t="n">
        <f aca="false">P24-Q23</f>
        <v>41.9445185124975</v>
      </c>
      <c r="R24" s="15" t="n">
        <f aca="false">Q24-R23</f>
        <v>36.808983533998</v>
      </c>
      <c r="S24" s="15" t="n">
        <f aca="false">R24-S23</f>
        <v>31.9706616459346</v>
      </c>
      <c r="T24" s="15" t="n">
        <f aca="false">S24-T23</f>
        <v>27.4617661479452</v>
      </c>
      <c r="U24" s="15" t="n">
        <f aca="false">T24-U23</f>
        <v>23.318030708503</v>
      </c>
      <c r="V24" s="15" t="n">
        <f aca="false">U24-V23</f>
        <v>19.5790972864641</v>
      </c>
      <c r="W24" s="15" t="n">
        <f aca="false">V24-W23</f>
        <v>16.2889471509307</v>
      </c>
      <c r="X24" s="15" t="n">
        <f aca="false">W24-X23</f>
        <v>13.4963798259983</v>
      </c>
      <c r="Y24" s="15" t="n">
        <f aca="false">X24-Y23</f>
        <v>11.2555453316256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70"/>
    <col collapsed="false" customWidth="true" hidden="false" outlineLevel="0" max="3" min="3" style="0" width="110"/>
  </cols>
  <sheetData>
    <row r="1" customFormat="false" ht="17.35" hidden="false" customHeight="false" outlineLevel="0" collapsed="false">
      <c r="A1" s="1" t="s">
        <v>106</v>
      </c>
      <c r="B1" s="2"/>
      <c r="C1" s="2"/>
    </row>
    <row r="2" customFormat="false" ht="15" hidden="false" customHeight="false" outlineLevel="0" collapsed="false">
      <c r="A2" s="2"/>
      <c r="B2" s="2"/>
      <c r="C2" s="2"/>
    </row>
    <row r="3" customFormat="false" ht="15" hidden="false" customHeight="false" outlineLevel="0" collapsed="false">
      <c r="A3" s="14" t="s">
        <v>107</v>
      </c>
      <c r="B3" s="6" t="s">
        <v>108</v>
      </c>
      <c r="C3" s="27" t="s">
        <v>109</v>
      </c>
    </row>
    <row r="4" customFormat="false" ht="15" hidden="false" customHeight="false" outlineLevel="0" collapsed="false">
      <c r="A4" s="14" t="s">
        <v>110</v>
      </c>
      <c r="B4" s="6" t="s">
        <v>111</v>
      </c>
      <c r="C4" s="27" t="s">
        <v>112</v>
      </c>
    </row>
    <row r="5" customFormat="false" ht="15" hidden="false" customHeight="false" outlineLevel="0" collapsed="false">
      <c r="A5" s="14" t="s">
        <v>113</v>
      </c>
      <c r="B5" s="6" t="s">
        <v>114</v>
      </c>
      <c r="C5" s="27" t="s">
        <v>112</v>
      </c>
    </row>
    <row r="6" customFormat="false" ht="15" hidden="false" customHeight="false" outlineLevel="0" collapsed="false">
      <c r="A6" s="14" t="s">
        <v>115</v>
      </c>
      <c r="B6" s="6" t="s">
        <v>116</v>
      </c>
      <c r="C6" s="27" t="s">
        <v>117</v>
      </c>
    </row>
    <row r="7" customFormat="false" ht="15" hidden="false" customHeight="false" outlineLevel="0" collapsed="false">
      <c r="A7" s="14" t="s">
        <v>118</v>
      </c>
      <c r="B7" s="6" t="s">
        <v>119</v>
      </c>
      <c r="C7" s="27" t="s">
        <v>120</v>
      </c>
    </row>
    <row r="8" customFormat="false" ht="15" hidden="false" customHeight="false" outlineLevel="0" collapsed="false">
      <c r="A8" s="14" t="s">
        <v>121</v>
      </c>
      <c r="B8" s="6" t="s">
        <v>122</v>
      </c>
      <c r="C8" s="27" t="s">
        <v>120</v>
      </c>
    </row>
    <row r="9" customFormat="false" ht="15" hidden="false" customHeight="false" outlineLevel="0" collapsed="false">
      <c r="A9" s="14" t="s">
        <v>123</v>
      </c>
      <c r="B9" s="6" t="s">
        <v>124</v>
      </c>
      <c r="C9" s="27" t="s">
        <v>125</v>
      </c>
    </row>
    <row r="10" customFormat="false" ht="15" hidden="false" customHeight="false" outlineLevel="0" collapsed="false">
      <c r="A10" s="14" t="s">
        <v>126</v>
      </c>
      <c r="B10" s="6" t="s">
        <v>127</v>
      </c>
      <c r="C10" s="27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2026-10-14T09:21:43Z</dcterms:created>
  <dc:creator>openpyxl</dc:creator>
  <dc:description/>
  <dc:language>en-US</dc:language>
  <cp:lastModifiedBy/>
  <dcterms:modified xsi:type="dcterms:W3CDTF">2026-10-14T09:21:43Z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